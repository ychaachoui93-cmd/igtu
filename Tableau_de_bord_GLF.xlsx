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dd9d5bb9b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b524763ffa4c03"/>
    <x:sheet xmlns:r="http://schemas.openxmlformats.org/officeDocument/2006/relationships" name="Appels reçus" sheetId="2" r:id="Rc55112f80cf04916"/>
    <x:sheet xmlns:r="http://schemas.openxmlformats.org/officeDocument/2006/relationships" name="Appels traités" sheetId="3" r:id="Ra86f82d3e9af443b"/>
    <x:sheet xmlns:r="http://schemas.openxmlformats.org/officeDocument/2006/relationships" name="DMT_DMC" sheetId="4" r:id="R644b8b621e1d4d71"/>
    <x:sheet xmlns:r="http://schemas.openxmlformats.org/officeDocument/2006/relationships" name="Évolution" sheetId="5" r:id="R62464154bfca49e6"/>
    <x:sheet xmlns:r="http://schemas.openxmlformats.org/officeDocument/2006/relationships" name="Configuration" sheetId="6" r:id="R7ab635ce8c154268"/>
    <x:sheet xmlns:r="http://schemas.openxmlformats.org/officeDocument/2006/relationships" name="Données préparées" sheetId="7" r:id="Re43785c7ae9f473a"/>
    <x:sheet xmlns:r="http://schemas.openxmlformats.org/officeDocument/2006/relationships" name="Source Genesys" sheetId="8" r:id="R72d5846e4cbe4b1c"/>
    <x:sheet xmlns:r="http://schemas.openxmlformats.org/officeDocument/2006/relationships" name="Source BILAN" sheetId="9" r:id="R13e47856f0404b21"/>
    <x:sheet xmlns:r="http://schemas.openxmlformats.org/officeDocument/2006/relationships" name="Guide Power Query" sheetId="10" r:id="R3b512c6fe84f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[h]:mm:ss"/>
    <x:numFmt numFmtId="203" formatCode="dd/mm/yyyy"/>
    <x:numFmt numFmtId="204" formatCode="#,##0.00"/>
    <x:numFmt numFmtId="205" formatCode="hh:mm"/>
  </x:numFmts>
  <x:fonts count="10">
    <x:font>
      <x:sz val="11"/>
      <x:name val="Carlito"/>
    </x:font>
    <x:font>
      <x:sz val="10"/>
      <x:color rgb="FF243447"/>
      <x:name val="Arial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b/>
      <x:sz val="10"/>
      <x:color rgb="FF243447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i/>
      <x:sz val="9"/>
      <x:color rgb="FF667085"/>
      <x:name val="Arial"/>
    </x:font>
    <x:font>
      <x:sz val="8"/>
      <x:color rgb="FF7F8C8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9">
    <x:border/>
    <x:border>
      <x:bottom style="thin">
        <x:color rgb="FFD9E1F2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  <x:bottom style="thin">
        <x:color rgb="FFD9E1F2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FFFFFF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FFFFFF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FFFFFF"/>
      </x:right>
      <x:top style="thin">
        <x:color rgb="FFD9E1F2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7" fillId="4" borderId="11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200" fontId="1" fillId="0" borderId="15" xfId="0" applyNumberFormat="1" applyFont="1" applyFill="1" applyBorder="1" applyAlignment="1">
      <x:alignment vertical="center"/>
    </x:xf>
    <x:xf numFmtId="201" fontId="1" fillId="0" borderId="16" xfId="0" applyNumberFormat="1" applyFont="1" applyFill="1" applyBorder="1" applyAlignment="1">
      <x:alignment vertical="center"/>
    </x:xf>
    <x:xf numFmtId="200" fontId="1" fillId="0" borderId="17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15" xfId="0" applyNumberFormat="1" applyFont="1" applyFill="1" applyBorder="1" applyAlignment="1">
      <x:alignment vertical="center"/>
    </x:xf>
    <x:xf numFmtId="202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0" fontId="1" fillId="2" borderId="16" xfId="0" applyNumberFormat="1" applyFont="1" applyFill="1" applyBorder="1" applyAlignment="1">
      <x:alignment vertical="center"/>
    </x:xf>
    <x:xf numFmtId="0" fontId="1" fillId="2" borderId="18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eec7ab1f64fbd" /><Relationship Type="http://schemas.openxmlformats.org/officeDocument/2006/relationships/theme" Target="/xl/theme/theme1.xml" Id="Rd520fcfef9784cb5" /><Relationship Type="http://schemas.openxmlformats.org/officeDocument/2006/relationships/sharedStrings" Target="/xl/sharedStrings.xml" Id="R2402421a6b3444ae" /><Relationship Type="http://schemas.openxmlformats.org/officeDocument/2006/relationships/worksheet" Target="/xl/worksheets/sheet1.xml" Id="R5eb524763ffa4c03" /><Relationship Type="http://schemas.openxmlformats.org/officeDocument/2006/relationships/worksheet" Target="/xl/worksheets/sheet2.xml" Id="Rc55112f80cf04916" /><Relationship Type="http://schemas.openxmlformats.org/officeDocument/2006/relationships/worksheet" Target="/xl/worksheets/sheet3.xml" Id="Ra86f82d3e9af443b" /><Relationship Type="http://schemas.openxmlformats.org/officeDocument/2006/relationships/worksheet" Target="/xl/worksheets/sheet4.xml" Id="R644b8b621e1d4d71" /><Relationship Type="http://schemas.openxmlformats.org/officeDocument/2006/relationships/worksheet" Target="/xl/worksheets/sheet5.xml" Id="R62464154bfca49e6" /><Relationship Type="http://schemas.openxmlformats.org/officeDocument/2006/relationships/worksheet" Target="/xl/worksheets/sheet6.xml" Id="R7ab635ce8c154268" /><Relationship Type="http://schemas.openxmlformats.org/officeDocument/2006/relationships/worksheet" Target="/xl/worksheets/sheet7.xml" Id="Re43785c7ae9f473a" /><Relationship Type="http://schemas.openxmlformats.org/officeDocument/2006/relationships/worksheet" Target="/xl/worksheets/sheet8.xml" Id="R72d5846e4cbe4b1c" /><Relationship Type="http://schemas.openxmlformats.org/officeDocument/2006/relationships/worksheet" Target="/xl/worksheets/sheet9.xml" Id="R13e47856f0404b21" /><Relationship Type="http://schemas.openxmlformats.org/officeDocument/2006/relationships/worksheet" Target="/xl/worksheets/sheet10.xml" Id="R3b512c6fe84f45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1fae34d2bc4a47" /><Relationship Type="http://schemas.openxmlformats.org/officeDocument/2006/relationships/chart" Target="/xl/drawings/charts/chart2.xml" Id="R8255a39c57aa432b" /><Relationship Type="http://schemas.openxmlformats.org/officeDocument/2006/relationships/chart" Target="/xl/drawings/charts/chart3.xml" Id="R916682960fbb49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Évolution par jour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Reçus Matin</c:v>
          </c:tx>
          <c:cat>
            <c:strRef>
              <c:f>'Évolution'!$A$8</c:f>
              <c:strCache>
                <c:ptCount val="0"/>
              </c:strCache>
            </c:strRef>
          </c:cat>
          <c:val>
            <c:numRef>
              <c:f>'Évolution'!$B$8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Traités Matin</c:v>
          </c:tx>
          <c:cat>
            <c:strRef>
              <c:f>'Évolution'!$A$8</c:f>
              <c:strCache>
                <c:ptCount val="0"/>
              </c:strCache>
            </c:strRef>
          </c:cat>
          <c:val>
            <c:numRef>
              <c:f>'Évolution'!$C$8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Reçus Après-midi</c:v>
          </c:tx>
          <c:cat>
            <c:strRef>
              <c:f>'Évolution'!$A$8</c:f>
              <c:strCache>
                <c:ptCount val="0"/>
              </c:strCache>
            </c:strRef>
          </c:cat>
          <c:val>
            <c:numRef>
              <c:f>'Évolution'!$D$8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Traités Après-midi</c:v>
          </c:tx>
          <c:cat>
            <c:strRef>
              <c:f>'Évolution'!$A$8</c:f>
              <c:strCache>
                <c:ptCount val="0"/>
              </c:strCache>
            </c:strRef>
          </c:cat>
          <c:val>
            <c:numRef>
              <c:f>'Évolution'!$E$8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Évolution par semaine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Reçus Matin</c:v>
          </c:tx>
          <c:cat>
            <c:strRef>
              <c:f>'Évolution'!$A$23</c:f>
              <c:strCache>
                <c:ptCount val="0"/>
              </c:strCache>
            </c:strRef>
          </c:cat>
          <c:val>
            <c:numRef>
              <c:f>'Évolution'!$B$23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Traités Matin</c:v>
          </c:tx>
          <c:cat>
            <c:strRef>
              <c:f>'Évolution'!$A$23</c:f>
              <c:strCache>
                <c:ptCount val="0"/>
              </c:strCache>
            </c:strRef>
          </c:cat>
          <c:val>
            <c:numRef>
              <c:f>'Évolution'!$C$23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Reçus Après-midi</c:v>
          </c:tx>
          <c:cat>
            <c:strRef>
              <c:f>'Évolution'!$A$23</c:f>
              <c:strCache>
                <c:ptCount val="0"/>
              </c:strCache>
            </c:strRef>
          </c:cat>
          <c:val>
            <c:numRef>
              <c:f>'Évolution'!$D$23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Traités Après-midi</c:v>
          </c:tx>
          <c:cat>
            <c:strRef>
              <c:f>'Évolution'!$A$23</c:f>
              <c:strCache>
                <c:ptCount val="0"/>
              </c:strCache>
            </c:strRef>
          </c:cat>
          <c:val>
            <c:numRef>
              <c:f>'Évolution'!$E$23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Évolution par mois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Reçus Matin</c:v>
          </c:tx>
          <c:cat>
            <c:strRef>
              <c:f>'Évolution'!$A$38</c:f>
              <c:strCache>
                <c:ptCount val="0"/>
              </c:strCache>
            </c:strRef>
          </c:cat>
          <c:val>
            <c:numRef>
              <c:f>'Évolution'!$B$38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Traités Matin</c:v>
          </c:tx>
          <c:cat>
            <c:strRef>
              <c:f>'Évolution'!$A$38</c:f>
              <c:strCache>
                <c:ptCount val="0"/>
              </c:strCache>
            </c:strRef>
          </c:cat>
          <c:val>
            <c:numRef>
              <c:f>'Évolution'!$C$38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Reçus Après-midi</c:v>
          </c:tx>
          <c:cat>
            <c:strRef>
              <c:f>'Évolution'!$A$38</c:f>
              <c:strCache>
                <c:ptCount val="0"/>
              </c:strCache>
            </c:strRef>
          </c:cat>
          <c:val>
            <c:numRef>
              <c:f>'Évolution'!$D$38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Traités Après-midi</c:v>
          </c:tx>
          <c:cat>
            <c:strRef>
              <c:f>'Évolution'!$A$38</c:f>
              <c:strCache>
                <c:ptCount val="0"/>
              </c:strCache>
            </c:strRef>
          </c:cat>
          <c:val>
            <c:numRef>
              <c:f>'Évolution'!$E$38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fae34d2bc4a4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55a39c57aa432b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6682960fbb49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Parametres" displayName="tblParametres" ref="A6:B8" headerRowCount="1" totalsRowCount="0" totalsRowShown="0">
  <x:tableColumns count="2">
    <x:tableColumn id="1" name="Paramètre"/>
    <x:tableColumn id="2" name="Valeu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onfigurationVQ" displayName="tblConfigurationVQ" ref="A11:C14" headerRowCount="1" totalsRowCount="0" totalsRowShown="0">
  <x:tableColumns count="3">
    <x:tableColumn id="1" name="VQ source"/>
    <x:tableColumn id="2" name="Libellé Matin"/>
    <x:tableColumn id="3" name="Libellé Après-mid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ModeleTDB" displayName="tblModeleTDB" ref="A1:L48" headerRowCount="1" totalsRowCount="0" totalsRowShown="0">
  <x:tableColumns count="12">
    <x:tableColumn id="1" name="Type période"/>
    <x:tableColumn id="2" name="Période"/>
    <x:tableColumn id="3" name="Début période"/>
    <x:tableColumn id="4" name="Niveau"/>
    <x:tableColumn id="5" name="VQ traitement"/>
    <x:tableColumn id="6" name="Tranche"/>
    <x:tableColumn id="7" name="Appels reçus"/>
    <x:tableColumn id="8" name="Appels traités"/>
    <x:tableColumn id="9" name="DMT pondéré sec"/>
    <x:tableColumn id="10" name="Poids DMT"/>
    <x:tableColumn id="11" name="DMC pondéré sec"/>
    <x:tableColumn id="12" name="Poids DM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SourceGenesys" displayName="tblSourceGenesys" ref="A1:S48" headerRowCount="1" totalsRowCount="0" totalsRowShown="0">
  <x:tableColumns count="19">
    <x:tableColumn id="1" name="Jour"/>
    <x:tableColumn id="2" name="Créneau horaire"/>
    <x:tableColumn id="3" name="Activité"/>
    <x:tableColumn id="4" name="Canal"/>
    <x:tableColumn id="5" name="VQ"/>
    <x:tableColumn id="6" name="Appels Reçus"/>
    <x:tableColumn id="7" name="Appels Traités"/>
    <x:tableColumn id="8" name="Appels abandonnés"/>
    <x:tableColumn id="9" name="Appels dissuadés"/>
    <x:tableColumn id="10" name="Efficacité (%)"/>
    <x:tableColumn id="11" name="Qualité de service (%)"/>
    <x:tableColumn id="12" name="Répondu en moins de 180 s."/>
    <x:tableColumn id="13" name="Répondu en moins de 90 sec. "/>
    <x:tableColumn id="14" name="DMT"/>
    <x:tableColumn id="15" name="DMC"/>
    <x:tableColumn id="16" name="DMG"/>
    <x:tableColumn id="17" name="DMW"/>
    <x:tableColumn id="18" name="TMA"/>
    <x:tableColumn id="19" name="Répondu en moins de 20 s.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ourceBilan" displayName="tblSourceBilan" ref="A1:X16" headerRowCount="1" totalsRowCount="0" totalsRowShown="0">
  <x:tableColumns count="24">
    <x:tableColumn id="1" name="Groupe"/>
    <x:tableColumn id="2" name="Type periode"/>
    <x:tableColumn id="3" name="Periode"/>
    <x:tableColumn id="4" name="Canal"/>
    <x:tableColumn id="5" name="Sous-activité"/>
    <x:tableColumn id="6" name="Appels Reçus"/>
    <x:tableColumn id="7" name="Appels Traités"/>
    <x:tableColumn id="8" name="Dissuasion"/>
    <x:tableColumn id="9" name="Répondu en moins de 180 sec."/>
    <x:tableColumn id="10" name="Répondu en moins de 90 sec."/>
    <x:tableColumn id="11" name="DMT"/>
    <x:tableColumn id="12" name="TMA"/>
    <x:tableColumn id="13" name="VQ GROUPE 1"/>
    <x:tableColumn id="14" name="Appels Transférés"/>
    <x:tableColumn id="15" name="Appels Débordés"/>
    <x:tableColumn id="16" name="DMC"/>
    <x:tableColumn id="17" name="DMG"/>
    <x:tableColumn id="18" name="DMW"/>
    <x:tableColumn id="19" name="Appels Perdus"/>
    <x:tableColumn id="20" name="Appels Abandonnés"/>
    <x:tableColumn id="21" name="Temps d'occupation"/>
    <x:tableColumn id="22" name="Répondu en moins de 60 sec."/>
    <x:tableColumn id="23" name="Répondu en moins de 30 sec."/>
    <x:tableColumn id="24" name="Répondu en moins de 20 sec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4ab00f4f65e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376bd879a4f74c4d" /><Relationship Type="http://schemas.openxmlformats.org/officeDocument/2006/relationships/table" Target="/xl/tables/table2.xml" Id="R20129f2b8a7f47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d08fd87166244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23e33606751543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e36e451fcd90437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Tableau de bord des traitements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Vue globale des appels, des traitements et des durées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6" t="str">
        <x:v>Type de période</x:v>
      </x:c>
      <x:c r="B6" s="10" t="str">
        <x:v>Année</x:v>
      </x:c>
      <x:c r="C6" s="2"/>
      <x:c r="D6" s="6" t="str">
        <x:v>Période</x:v>
      </x:c>
      <x:c r="E6" s="10" t="str">
        <x:v>2026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4" customHeight="1">
      <x:c r="A8" s="14" t="str">
        <x:v>Indicateur</x:v>
      </x:c>
      <x:c r="B8" s="15" t="str">
        <x:v>Résultat</x:v>
      </x:c>
      <x:c r="C8" s="2"/>
      <x:c r="D8" s="29" t="str">
        <x:v>Répartition Genesys par tranche</x:v>
      </x:c>
      <x:c r="E8" s="30"/>
      <x:c r="F8" s="30"/>
      <x:c r="G8" s="31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4" customHeight="1">
      <x:c r="A9" s="19" t="str">
        <x:v>Appels reçus</x:v>
      </x:c>
      <x:c r="B9" s="20" t="n">
        <x:f>SUMIFS('Données préparées'!$G$2:$G$48,'Données préparées'!$A$2:$A$48,$B$6,'Données préparées'!$B$2:$B$48,$E$6,'Données préparées'!$D$2:$D$48,"BILAN_GLOBAL")</x:f>
        <x:v>182</x:v>
      </x:c>
      <x:c r="C9" s="2"/>
      <x:c r="D9" s="33" t="str">
        <x:v>Tranche</x:v>
      </x:c>
      <x:c r="E9" s="34" t="str">
        <x:v>Reçus</x:v>
      </x:c>
      <x:c r="F9" s="34" t="str">
        <x:v>Traités</x:v>
      </x:c>
      <x:c r="G9" s="35" t="str">
        <x:v>Taux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1" t="str">
        <x:v>Appels traités</x:v>
      </x:c>
      <x:c r="B10" s="22" t="n">
        <x:f>SUMIFS('Données préparées'!$H$2:$H$48,'Données préparées'!$A$2:$A$48,$B$6,'Données préparées'!$B$2:$B$48,$E$6,'Données préparées'!$D$2:$D$48,"BILAN_GLOBAL")</x:f>
        <x:v>182</x:v>
      </x:c>
      <x:c r="C10" s="2"/>
      <x:c r="D10" s="21" t="str">
        <x:v>Matin</x:v>
      </x:c>
      <x:c r="E10" s="36" t="n">
        <x:f>SUMIFS('Données préparées'!$G$2:$G$48,'Données préparées'!$A$2:$A$48,$B$6,'Données préparées'!$B$2:$B$48,$E$6,'Données préparées'!$D$2:$D$48,"GENESYS_TRANCHE",'Données préparées'!$F$2:$F$48,$D10)</x:f>
        <x:v>42</x:v>
      </x:c>
      <x:c r="F10" s="36" t="n">
        <x:f>SUMIFS('Données préparées'!$H$2:$H$48,'Données préparées'!$A$2:$A$48,$B$6,'Données préparées'!$B$2:$B$48,$E$6,'Données préparées'!$D$2:$D$48,"GENESYS_TRANCHE",'Données préparées'!$F$2:$F$48,$D10)</x:f>
        <x:v>42</x:v>
      </x:c>
      <x:c r="G10" s="37" t="n">
        <x:f>IFERROR(F10/E10,0)</x:f>
        <x:v>1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1" t="str">
        <x:v>Taux de traitement</x:v>
      </x:c>
      <x:c r="B11" s="23" t="n">
        <x:f>IFERROR(B10/B9,0)</x:f>
        <x:v>1</x:v>
      </x:c>
      <x:c r="C11" s="2"/>
      <x:c r="D11" s="25" t="str">
        <x:v>Après-midi</x:v>
      </x:c>
      <x:c r="E11" s="38" t="n">
        <x:f>SUMIFS('Données préparées'!$G$2:$G$48,'Données préparées'!$A$2:$A$48,$B$6,'Données préparées'!$B$2:$B$48,$E$6,'Données préparées'!$D$2:$D$48,"GENESYS_TRANCHE",'Données préparées'!$F$2:$F$48,$D11)</x:f>
        <x:v>46</x:v>
      </x:c>
      <x:c r="F11" s="38" t="n">
        <x:f>SUMIFS('Données préparées'!$H$2:$H$48,'Données préparées'!$A$2:$A$48,$B$6,'Données préparées'!$B$2:$B$48,$E$6,'Données préparées'!$D$2:$D$48,"GENESYS_TRANCHE",'Données préparées'!$F$2:$F$48,$D11)</x:f>
        <x:v>46</x:v>
      </x:c>
      <x:c r="G11" s="39" t="n">
        <x:f>IFERROR(F11/E11,0)</x:f>
        <x:v>1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1" t="str">
        <x:v>DMT</x:v>
      </x:c>
      <x:c r="B12" s="24" t="n">
        <x:f>IFERROR(SUMIFS('Données préparées'!$I$2:$I$48,'Données préparées'!$A$2:$A$48,$B$6,'Données préparées'!$B$2:$B$48,$E$6,'Données préparées'!$D$2:$D$48,"BILAN_GLOBAL")/SUMIFS('Données préparées'!$J$2:$J$48,'Données préparées'!$A$2:$A$48,$B$6,'Données préparées'!$B$2:$B$48,$E$6,'Données préparées'!$D$2:$D$48,"BILAN_GLOBAL")/86400,0)</x:f>
        <x:v>0.006683964183964184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5" t="str">
        <x:v>DMC</x:v>
      </x:c>
      <x:c r="B13" s="26" t="n">
        <x:f>IFERROR(SUMIFS('Données préparées'!$K$2:$K$48,'Données préparées'!$A$2:$A$48,$B$6,'Données préparées'!$B$2:$B$48,$E$6,'Données préparées'!$D$2:$D$48,"BILAN_GLOBAL")/SUMIFS('Données préparées'!$L$2:$L$48,'Données préparées'!$A$2:$A$48,$B$6,'Données préparées'!$B$2:$B$48,$E$6,'Données préparées'!$D$2:$D$48,"BILAN_GLOBAL")/86400,0)</x:f>
        <x:v>0.00545774827024827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40" t="str">
        <x:v>Lecture : les indicateurs globaux proviennent des lignes G1 de BILAN. Les tranches Matin / Après-midi proviennent de Genesys ; 13 h est inclus dans le matin.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  <x:mergeCell ref="D8:G8"/>
    <x:mergeCell ref="A16:H16"/>
  </x:mergeCells>
  <x:dataValidations count="2">
    <x:dataValidation type="list" sqref="B6">
      <x:formula1>"Jour,Semaine,Mois,Année"</x:formula1>
    </x:dataValidation>
    <x:dataValidation type="list" sqref="E6">
      <x:formula1>Configuration!$H$2:$H$12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3" hidden="0" customWidth="1"/>
    <x:col min="4" max="4" width="28" hidden="0" customWidth="1"/>
    <x:col min="5" max="5" width="16" hidden="0" customWidth="1"/>
    <x:col min="6" max="6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Analyse des appels reçus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Global BILAN, détail par VQ et détail Genesys par tranche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6" t="str">
        <x:v>Type de période</x:v>
      </x:c>
      <x:c r="B6" s="10" t="str">
        <x:v>Année</x:v>
      </x:c>
      <x:c r="C6" s="2"/>
      <x:c r="D6" s="6" t="str">
        <x:v>Période</x:v>
      </x:c>
      <x:c r="E6" s="10" t="str">
        <x:v>2026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4" customHeight="1">
      <x:c r="A8" s="14" t="str">
        <x:v>Global</x:v>
      </x:c>
      <x:c r="B8" s="15" t="str">
        <x:v>Valeur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 t="str">
        <x:v>Appels reçus</x:v>
      </x:c>
      <x:c r="B9" s="16" t="n">
        <x:f>SUMIFS('Données préparées'!$G$2:$G$48,'Données préparées'!$A$2:$A$48,$B$6,'Données préparées'!$B$2:$B$48,$E$6,'Données préparées'!$D$2:$D$48,"BILAN_GLOBAL")</x:f>
        <x:v>182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4" customHeight="1">
      <x:c r="A12" s="14" t="str">
        <x:v>VQ BILAN</x:v>
      </x:c>
      <x:c r="B12" s="15" t="str">
        <x:v>Reçus</x:v>
      </x:c>
      <x:c r="C12" s="2"/>
      <x:c r="D12" s="14" t="str">
        <x:v>VQ de traitement</x:v>
      </x:c>
      <x:c r="E12" s="32" t="str">
        <x:v>Tranche</x:v>
      </x:c>
      <x:c r="F12" s="15" t="str">
        <x:v>Reçus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19" t="str">
        <x:v>VQ_11_40469_EIDS_GLF_DEBORD_MUTATION</x:v>
      </x:c>
      <x:c r="B13" s="20" t="n">
        <x:f>SUMIFS('Données préparées'!$G$2:$G$48,'Données préparées'!$A$2:$A$48,$B$6,'Données préparées'!$B$2:$B$48,$E$6,'Données préparées'!$D$2:$D$48,"BILAN_VQ",'Données préparées'!$E$2:$E$48,A13)</x:f>
        <x:v>96</x:v>
      </x:c>
      <x:c r="C13" s="2"/>
      <x:c r="D13" s="19" t="str">
        <x:v>EIDS_GLF_DEBORDEMENT</x:v>
      </x:c>
      <x:c r="E13" s="45" t="str">
        <x:v>Matin</x:v>
      </x:c>
      <x:c r="F13" s="20" t="n">
        <x:f>SUMIFS('Données préparées'!$G$2:$G$48,'Données préparées'!$A$2:$A$48,$B$6,'Données préparées'!$B$2:$B$48,$E$6,'Données préparées'!$D$2:$D$48,"GENESYS_TRANCHE",'Données préparées'!$E$2:$E$48,D13,'Données préparées'!$F$2:$F$48,E13)</x:f>
        <x:v>17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1" t="str">
        <x:v>VQ_11_40469_EIDS_GLF_DEBORD_POLEVIE</x:v>
      </x:c>
      <x:c r="B14" s="22" t="n">
        <x:f>SUMIFS('Données préparées'!$G$2:$G$48,'Données préparées'!$A$2:$A$48,$B$6,'Données préparées'!$B$2:$B$48,$E$6,'Données préparées'!$D$2:$D$48,"BILAN_VQ",'Données préparées'!$E$2:$E$48,A14)</x:f>
        <x:v>69</x:v>
      </x:c>
      <x:c r="C14" s="2"/>
      <x:c r="D14" s="21" t="str">
        <x:v>EIDS_GLF_DEBORDEMENT</x:v>
      </x:c>
      <x:c r="E14" s="46" t="str">
        <x:v>Après-midi</x:v>
      </x:c>
      <x:c r="F14" s="22" t="n">
        <x:f>SUMIFS('Données préparées'!$G$2:$G$48,'Données préparées'!$A$2:$A$48,$B$6,'Données préparées'!$B$2:$B$48,$E$6,'Données préparées'!$D$2:$D$48,"GENESYS_TRANCHE",'Données préparées'!$E$2:$E$48,D14,'Données préparées'!$F$2:$F$48,E14)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5" t="str">
        <x:v>VQ_11_40469_EIDS_GLF_MODIF_CLI</x:v>
      </x:c>
      <x:c r="B15" s="44" t="n">
        <x:f>SUMIFS('Données préparées'!$G$2:$G$48,'Données préparées'!$A$2:$A$48,$B$6,'Données préparées'!$B$2:$B$48,$E$6,'Données préparées'!$D$2:$D$48,"BILAN_VQ",'Données préparées'!$E$2:$E$48,A15)</x:f>
        <x:v>90</x:v>
      </x:c>
      <x:c r="C15" s="2"/>
      <x:c r="D15" s="21" t="str">
        <x:v>EIDS_GLF_MODIF_CLI</x:v>
      </x:c>
      <x:c r="E15" s="46" t="str">
        <x:v>Matin</x:v>
      </x:c>
      <x:c r="F15" s="22" t="n">
        <x:f>SUMIFS('Données préparées'!$G$2:$G$48,'Données préparées'!$A$2:$A$48,$B$6,'Données préparées'!$B$2:$B$48,$E$6,'Données préparées'!$D$2:$D$48,"GENESYS_TRANCHE",'Données préparées'!$E$2:$E$48,D15,'Données préparées'!$F$2:$F$48,E15)</x:f>
        <x:v>25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1" t="str">
        <x:v>EIDS_GLF_MODIF_CLI</x:v>
      </x:c>
      <x:c r="E16" s="46" t="str">
        <x:v>Après-midi</x:v>
      </x:c>
      <x:c r="F16" s="22" t="n">
        <x:f>SUMIFS('Données préparées'!$G$2:$G$48,'Données préparées'!$A$2:$A$48,$B$6,'Données préparées'!$B$2:$B$48,$E$6,'Données préparées'!$D$2:$D$48,"GENESYS_TRANCHE",'Données préparées'!$E$2:$E$48,D16,'Données préparées'!$F$2:$F$48,E16)</x:f>
        <x:v>21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1" t="str">
        <x:v>EIDS_GLF_REBOND</x:v>
      </x:c>
      <x:c r="E17" s="46" t="str">
        <x:v>Matin</x:v>
      </x:c>
      <x:c r="F17" s="22" t="n">
        <x:f>SUMIFS('Données préparées'!$G$2:$G$48,'Données préparées'!$A$2:$A$48,$B$6,'Données préparées'!$B$2:$B$48,$E$6,'Données préparées'!$D$2:$D$48,"GENESYS_TRANCHE",'Données préparées'!$E$2:$E$48,D17,'Données préparées'!$F$2:$F$48,E17)</x:f>
        <x:v>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5" t="str">
        <x:v>EIDS_GLF_REBOND</x:v>
      </x:c>
      <x:c r="E18" s="47" t="str">
        <x:v>Après-midi</x:v>
      </x:c>
      <x:c r="F18" s="44" t="n">
        <x:f>SUMIFS('Données préparées'!$G$2:$G$48,'Données préparées'!$A$2:$A$48,$B$6,'Données préparées'!$B$2:$B$48,$E$6,'Données préparées'!$D$2:$D$48,"GENESYS_TRANCHE",'Données préparées'!$E$2:$E$48,D18,'Données préparées'!$F$2:$F$48,E18)</x:f>
        <x:v>25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</x:mergeCells>
  <x:dataValidations count="2">
    <x:dataValidation type="list" sqref="B6">
      <x:formula1>"Jour,Semaine,Mois,Année"</x:formula1>
    </x:dataValidation>
    <x:dataValidation type="list" sqref="E6">
      <x:formula1>Configuration!$H$2:$H$12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3" hidden="0" customWidth="1"/>
    <x:col min="4" max="4" width="28" hidden="0" customWidth="1"/>
    <x:col min="5" max="5" width="16" hidden="0" customWidth="1"/>
    <x:col min="6" max="6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Analyse des appels traités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Global BILAN, détail par VQ et détail Genesys par tranche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6" t="str">
        <x:v>Type de période</x:v>
      </x:c>
      <x:c r="B6" s="10" t="str">
        <x:v>Année</x:v>
      </x:c>
      <x:c r="C6" s="2"/>
      <x:c r="D6" s="6" t="str">
        <x:v>Période</x:v>
      </x:c>
      <x:c r="E6" s="10" t="str">
        <x:v>2026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4" customHeight="1">
      <x:c r="A8" s="14" t="str">
        <x:v>Global</x:v>
      </x:c>
      <x:c r="B8" s="15" t="str">
        <x:v>Valeur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 t="str">
        <x:v>Appels traités</x:v>
      </x:c>
      <x:c r="B9" s="16" t="n">
        <x:f>SUMIFS('Données préparées'!$H$2:$H$48,'Données préparées'!$A$2:$A$48,$B$6,'Données préparées'!$B$2:$B$48,$E$6,'Données préparées'!$D$2:$D$48,"BILAN_GLOBAL")</x:f>
        <x:v>182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4" customHeight="1">
      <x:c r="A12" s="14" t="str">
        <x:v>VQ BILAN</x:v>
      </x:c>
      <x:c r="B12" s="15" t="str">
        <x:v>Traités</x:v>
      </x:c>
      <x:c r="C12" s="2"/>
      <x:c r="D12" s="14" t="str">
        <x:v>VQ de traitement</x:v>
      </x:c>
      <x:c r="E12" s="32" t="str">
        <x:v>Tranche</x:v>
      </x:c>
      <x:c r="F12" s="15" t="str">
        <x:v>Traités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19" t="str">
        <x:v>VQ_11_40469_EIDS_GLF_DEBORD_MUTATION</x:v>
      </x:c>
      <x:c r="B13" s="20" t="n">
        <x:f>SUMIFS('Données préparées'!$H$2:$H$48,'Données préparées'!$A$2:$A$48,$B$6,'Données préparées'!$B$2:$B$48,$E$6,'Données préparées'!$D$2:$D$48,"BILAN_VQ",'Données préparées'!$E$2:$E$48,A13)</x:f>
        <x:v>96</x:v>
      </x:c>
      <x:c r="C13" s="2"/>
      <x:c r="D13" s="19" t="str">
        <x:v>EIDS_GLF_DEBORDEMENT</x:v>
      </x:c>
      <x:c r="E13" s="45" t="str">
        <x:v>Matin</x:v>
      </x:c>
      <x:c r="F13" s="20" t="n">
        <x:f>SUMIFS('Données préparées'!$H$2:$H$48,'Données préparées'!$A$2:$A$48,$B$6,'Données préparées'!$B$2:$B$48,$E$6,'Données préparées'!$D$2:$D$48,"GENESYS_TRANCHE",'Données préparées'!$E$2:$E$48,D13,'Données préparées'!$F$2:$F$48,E13)</x:f>
        <x:v>17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1" t="str">
        <x:v>VQ_11_40469_EIDS_GLF_DEBORD_POLEVIE</x:v>
      </x:c>
      <x:c r="B14" s="22" t="n">
        <x:f>SUMIFS('Données préparées'!$H$2:$H$48,'Données préparées'!$A$2:$A$48,$B$6,'Données préparées'!$B$2:$B$48,$E$6,'Données préparées'!$D$2:$D$48,"BILAN_VQ",'Données préparées'!$E$2:$E$48,A14)</x:f>
        <x:v>69</x:v>
      </x:c>
      <x:c r="C14" s="2"/>
      <x:c r="D14" s="21" t="str">
        <x:v>EIDS_GLF_DEBORDEMENT</x:v>
      </x:c>
      <x:c r="E14" s="46" t="str">
        <x:v>Après-midi</x:v>
      </x:c>
      <x:c r="F14" s="22" t="n">
        <x:f>SUMIFS('Données préparées'!$H$2:$H$48,'Données préparées'!$A$2:$A$48,$B$6,'Données préparées'!$B$2:$B$48,$E$6,'Données préparées'!$D$2:$D$48,"GENESYS_TRANCHE",'Données préparées'!$E$2:$E$48,D14,'Données préparées'!$F$2:$F$48,E14)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5" t="str">
        <x:v>VQ_11_40469_EIDS_GLF_MODIF_CLI</x:v>
      </x:c>
      <x:c r="B15" s="44" t="n">
        <x:f>SUMIFS('Données préparées'!$H$2:$H$48,'Données préparées'!$A$2:$A$48,$B$6,'Données préparées'!$B$2:$B$48,$E$6,'Données préparées'!$D$2:$D$48,"BILAN_VQ",'Données préparées'!$E$2:$E$48,A15)</x:f>
        <x:v>90</x:v>
      </x:c>
      <x:c r="C15" s="2"/>
      <x:c r="D15" s="21" t="str">
        <x:v>EIDS_GLF_MODIF_CLI</x:v>
      </x:c>
      <x:c r="E15" s="46" t="str">
        <x:v>Matin</x:v>
      </x:c>
      <x:c r="F15" s="22" t="n">
        <x:f>SUMIFS('Données préparées'!$H$2:$H$48,'Données préparées'!$A$2:$A$48,$B$6,'Données préparées'!$B$2:$B$48,$E$6,'Données préparées'!$D$2:$D$48,"GENESYS_TRANCHE",'Données préparées'!$E$2:$E$48,D15,'Données préparées'!$F$2:$F$48,E15)</x:f>
        <x:v>25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1" t="str">
        <x:v>EIDS_GLF_MODIF_CLI</x:v>
      </x:c>
      <x:c r="E16" s="46" t="str">
        <x:v>Après-midi</x:v>
      </x:c>
      <x:c r="F16" s="22" t="n">
        <x:f>SUMIFS('Données préparées'!$H$2:$H$48,'Données préparées'!$A$2:$A$48,$B$6,'Données préparées'!$B$2:$B$48,$E$6,'Données préparées'!$D$2:$D$48,"GENESYS_TRANCHE",'Données préparées'!$E$2:$E$48,D16,'Données préparées'!$F$2:$F$48,E16)</x:f>
        <x:v>21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1" t="str">
        <x:v>EIDS_GLF_REBOND</x:v>
      </x:c>
      <x:c r="E17" s="46" t="str">
        <x:v>Matin</x:v>
      </x:c>
      <x:c r="F17" s="22" t="n">
        <x:f>SUMIFS('Données préparées'!$H$2:$H$48,'Données préparées'!$A$2:$A$48,$B$6,'Données préparées'!$B$2:$B$48,$E$6,'Données préparées'!$D$2:$D$48,"GENESYS_TRANCHE",'Données préparées'!$E$2:$E$48,D17,'Données préparées'!$F$2:$F$48,E17)</x:f>
        <x:v>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5" t="str">
        <x:v>EIDS_GLF_REBOND</x:v>
      </x:c>
      <x:c r="E18" s="47" t="str">
        <x:v>Après-midi</x:v>
      </x:c>
      <x:c r="F18" s="44" t="n">
        <x:f>SUMIFS('Données préparées'!$H$2:$H$48,'Données préparées'!$A$2:$A$48,$B$6,'Données préparées'!$B$2:$B$48,$E$6,'Données préparées'!$D$2:$D$48,"GENESYS_TRANCHE",'Données préparées'!$E$2:$E$48,D18,'Données préparées'!$F$2:$F$48,E18)</x:f>
        <x:v>25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</x:mergeCells>
  <x:dataValidations count="2">
    <x:dataValidation type="list" sqref="B6">
      <x:formula1>"Jour,Semaine,Mois,Année"</x:formula1>
    </x:dataValidation>
    <x:dataValidation type="list" sqref="E6">
      <x:formula1>Configuration!$H$2:$H$12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DMT et DMC par VQ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Durées pondérées par le nombre d'appels traités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6" t="str">
        <x:v>Type de période</x:v>
      </x:c>
      <x:c r="B6" s="10" t="str">
        <x:v>Année</x:v>
      </x:c>
      <x:c r="C6" s="2"/>
      <x:c r="D6" s="6" t="str">
        <x:v>Période</x:v>
      </x:c>
      <x:c r="E6" s="10" t="str">
        <x:v>2026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4" customHeight="1">
      <x:c r="A8" s="14" t="str">
        <x:v>VQ</x:v>
      </x:c>
      <x:c r="B8" s="32" t="str">
        <x:v>DMT</x:v>
      </x:c>
      <x:c r="C8" s="15" t="str">
        <x:v>DMC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19" t="str">
        <x:v>VQ_11_40469_EIDS_GLF_DEBORD_MUTATION</x:v>
      </x:c>
      <x:c r="B9" s="48" t="n">
        <x:f>IFERROR(SUMIFS('Données préparées'!$I$2:$I$48,'Données préparées'!$A$2:$A$48,$B$6,'Données préparées'!$B$2:$B$48,$E$6,'Données préparées'!$D$2:$D$48,"BILAN_VQ",'Données préparées'!$E$2:$E$48,A9)/SUMIFS('Données préparées'!$J$2:$J$48,'Données préparées'!$A$2:$A$48,$B$6,'Données préparées'!$B$2:$B$48,$E$6,'Données préparées'!$D$2:$D$48,"BILAN_VQ",'Données préparées'!$E$2:$E$48,A9)/86400,0)</x:f>
        <x:v>0.007461781442901234</x:v>
      </x:c>
      <x:c r="C9" s="49" t="n">
        <x:f>IFERROR(SUMIFS('Données préparées'!$K$2:$K$48,'Données préparées'!$A$2:$A$48,$B$6,'Données préparées'!$B$2:$B$48,$E$6,'Données préparées'!$D$2:$D$48,"BILAN_VQ",'Données préparées'!$E$2:$E$48,A9)/SUMIFS('Données préparées'!$L$2:$L$48,'Données préparées'!$A$2:$A$48,$B$6,'Données préparées'!$B$2:$B$48,$E$6,'Données préparées'!$D$2:$D$48,"BILAN_VQ",'Données préparées'!$E$2:$E$48,A9)/86400,0)</x:f>
        <x:v>0.00581175250771605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1" t="str">
        <x:v>VQ_11_40469_EIDS_GLF_DEBORD_POLEVIE</x:v>
      </x:c>
      <x:c r="B10" s="50" t="n">
        <x:f>IFERROR(SUMIFS('Données préparées'!$I$2:$I$48,'Données préparées'!$A$2:$A$48,$B$6,'Données préparées'!$B$2:$B$48,$E$6,'Données préparées'!$D$2:$D$48,"BILAN_VQ",'Données préparées'!$E$2:$E$48,A10)/SUMIFS('Données préparées'!$J$2:$J$48,'Données préparées'!$A$2:$A$48,$B$6,'Données préparées'!$B$2:$B$48,$E$6,'Données préparées'!$D$2:$D$48,"BILAN_VQ",'Données préparées'!$E$2:$E$48,A10)/86400,0)</x:f>
        <x:v>0.007034017713365539</x:v>
      </x:c>
      <x:c r="C10" s="24" t="n">
        <x:f>IFERROR(SUMIFS('Données préparées'!$K$2:$K$48,'Données préparées'!$A$2:$A$48,$B$6,'Données préparées'!$B$2:$B$48,$E$6,'Données préparées'!$D$2:$D$48,"BILAN_VQ",'Données préparées'!$E$2:$E$48,A10)/SUMIFS('Données préparées'!$L$2:$L$48,'Données préparées'!$A$2:$A$48,$B$6,'Données préparées'!$B$2:$B$48,$E$6,'Données préparées'!$D$2:$D$48,"BILAN_VQ",'Données préparées'!$E$2:$E$48,A10)/86400,0)</x:f>
        <x:v>0.005580381105743424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5" t="str">
        <x:v>VQ_11_40469_EIDS_GLF_MODIF_CLI</x:v>
      </x:c>
      <x:c r="B11" s="51" t="n">
        <x:f>IFERROR(SUMIFS('Données préparées'!$I$2:$I$48,'Données préparées'!$A$2:$A$48,$B$6,'Données préparées'!$B$2:$B$48,$E$6,'Données préparées'!$D$2:$D$48,"BILAN_VQ",'Données préparées'!$E$2:$E$48,A11)/SUMIFS('Données préparées'!$J$2:$J$48,'Données préparées'!$A$2:$A$48,$B$6,'Données préparées'!$B$2:$B$48,$E$6,'Données préparées'!$D$2:$D$48,"BILAN_VQ",'Données préparées'!$E$2:$E$48,A11)/86400,0)</x:f>
        <x:v>0.005762088477366255</x:v>
      </x:c>
      <x:c r="C11" s="26" t="n">
        <x:f>IFERROR(SUMIFS('Données préparées'!$K$2:$K$48,'Données préparées'!$A$2:$A$48,$B$6,'Données préparées'!$B$2:$B$48,$E$6,'Données préparées'!$D$2:$D$48,"BILAN_VQ",'Données préparées'!$E$2:$E$48,A11)/SUMIFS('Données préparées'!$L$2:$L$48,'Données préparées'!$A$2:$A$48,$B$6,'Données préparées'!$B$2:$B$48,$E$6,'Données préparées'!$D$2:$D$48,"BILAN_VQ",'Données préparées'!$E$2:$E$48,A11)/86400,0)</x:f>
        <x:v>0.004709876543209876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40" t="str">
        <x:v>Méthode : somme (durée × appels traités) ÷ somme des appels traités. Cette pondération évite de donner le même poids aux journées de faible et de fort volume.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  <x:mergeCell ref="A15:H15"/>
  </x:mergeCells>
  <x:dataValidations count="2">
    <x:dataValidation type="list" sqref="B6">
      <x:formula1>"Jour,Semaine,Mois,Année"</x:formula1>
    </x:dataValidation>
    <x:dataValidation type="list" sqref="E6">
      <x:formula1>Configuration!$H$2:$H$12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Évolution des appels reçus et traités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Comparaison Matin / Après-midi par jour, semaine et mois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4" customHeight="1">
      <x:c r="A7" s="33" t="str">
        <x:v>Période</x:v>
      </x:c>
      <x:c r="B7" s="34" t="str">
        <x:v>Reçus Matin</x:v>
      </x:c>
      <x:c r="C7" s="34" t="str">
        <x:v>Traités Matin</x:v>
      </x:c>
      <x:c r="D7" s="34" t="str">
        <x:v>Reçus Après-midi</x:v>
      </x:c>
      <x:c r="E7" s="35" t="str">
        <x:v>Traités Après-midi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5" t="str">
        <x:v>2026-08-26</x:v>
      </x:c>
      <x:c r="B8" s="38" t="n">
        <x:v>42</x:v>
      </x:c>
      <x:c r="C8" s="38" t="n">
        <x:v>42</x:v>
      </x:c>
      <x:c r="D8" s="38" t="n">
        <x:v>46</x:v>
      </x:c>
      <x:c r="E8" s="53" t="n">
        <x:v>46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4" customHeight="1">
      <x:c r="A22" s="33" t="str">
        <x:v>Période</x:v>
      </x:c>
      <x:c r="B22" s="34" t="str">
        <x:v>Reçus Matin</x:v>
      </x:c>
      <x:c r="C22" s="34" t="str">
        <x:v>Traités Matin</x:v>
      </x:c>
      <x:c r="D22" s="34" t="str">
        <x:v>Reçus Après-midi</x:v>
      </x:c>
      <x:c r="E22" s="35" t="str">
        <x:v>Traités Après-midi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5" t="str">
        <x:v>2026-S35</x:v>
      </x:c>
      <x:c r="B23" s="38" t="n">
        <x:v>42</x:v>
      </x:c>
      <x:c r="C23" s="38" t="n">
        <x:v>42</x:v>
      </x:c>
      <x:c r="D23" s="38" t="n">
        <x:v>46</x:v>
      </x:c>
      <x:c r="E23" s="53" t="n">
        <x:v>46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4" customHeight="1">
      <x:c r="A37" s="33" t="str">
        <x:v>Période</x:v>
      </x:c>
      <x:c r="B37" s="34" t="str">
        <x:v>Reçus Matin</x:v>
      </x:c>
      <x:c r="C37" s="34" t="str">
        <x:v>Traités Matin</x:v>
      </x:c>
      <x:c r="D37" s="34" t="str">
        <x:v>Reçus Après-midi</x:v>
      </x:c>
      <x:c r="E37" s="35" t="str">
        <x:v>Traités Après-midi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5" t="str">
        <x:v>2026-08</x:v>
      </x:c>
      <x:c r="B38" s="38" t="n">
        <x:v>42</x:v>
      </x:c>
      <x:c r="C38" s="38" t="n">
        <x:v>42</x:v>
      </x:c>
      <x:c r="D38" s="38" t="n">
        <x:v>46</x:v>
      </x:c>
      <x:c r="E38" s="53" t="n">
        <x:v>46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</x:mergeCells>
  <x:pageMargins left="0.7" right="0.7" top="0.75" bottom="0.75" header="0.3" footer="0.3"/>
  <x:drawing xmlns:r="http://schemas.openxmlformats.org/officeDocument/2006/relationships" r:id="Ra4ab00f4f65e4a86"/>
</x:worksheet>
</file>

<file path=xl/worksheets/sheet6.xml><?xml version="1.0" encoding="utf-8"?>
<x:worksheet xmlns:x="http://schemas.openxmlformats.org/spreadsheetml/2006/main">
  <x:sheetPr>
    <x:tabColor rgb="FF00A6A6"/>
  </x:sheetPr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30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57" t="str">
        <x:v>Liste périodes</x:v>
      </x:c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Configuration</x:v>
      </x:c>
      <x:c r="B2" s="2"/>
      <x:c r="C2" s="2"/>
      <x:c r="D2" s="2"/>
      <x:c r="E2" s="2"/>
      <x:c r="F2" s="2"/>
      <x:c r="G2" s="2"/>
      <x:c r="H2" s="57" t="str">
        <x:v>2026</x:v>
      </x:c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Renseigner les dossiers sources et maintenir la correspondance des VQ</x:v>
      </x:c>
      <x:c r="B3" s="2"/>
      <x:c r="C3" s="2"/>
      <x:c r="D3" s="2"/>
      <x:c r="E3" s="2"/>
      <x:c r="F3" s="2"/>
      <x:c r="G3" s="2"/>
      <x:c r="H3" s="57" t="str">
        <x:v>2026-01</x:v>
      </x:c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8" t="str">
        <x:v>2026-01-02</x:v>
      </x:c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57" t="str">
        <x:v>2026-01-05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24" customHeight="1">
      <x:c r="A6" s="33" t="str">
        <x:v>Paramètre</x:v>
      </x:c>
      <x:c r="B6" s="35" t="str">
        <x:v>Valeur</x:v>
      </x:c>
      <x:c r="C6" s="2"/>
      <x:c r="D6" s="2"/>
      <x:c r="E6" s="2"/>
      <x:c r="F6" s="2"/>
      <x:c r="G6" s="2"/>
      <x:c r="H6" s="57" t="str">
        <x:v>2026-01-06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1" t="str">
        <x:v>Dossier Genesys</x:v>
      </x:c>
      <x:c r="B7" s="54" t="str">
        <x:v>C:\A_REMPLACER\Genesys</x:v>
      </x:c>
      <x:c r="C7" s="2"/>
      <x:c r="D7" s="2"/>
      <x:c r="E7" s="2"/>
      <x:c r="F7" s="2"/>
      <x:c r="G7" s="2"/>
      <x:c r="H7" s="57" t="str">
        <x:v>2026-01-07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5" t="str">
        <x:v>Dossier BILAN</x:v>
      </x:c>
      <x:c r="B8" s="55" t="str">
        <x:v>C:\A_REMPLACER\Bilan</x:v>
      </x:c>
      <x:c r="C8" s="2"/>
      <x:c r="D8" s="2"/>
      <x:c r="E8" s="2"/>
      <x:c r="F8" s="2"/>
      <x:c r="G8" s="2"/>
      <x:c r="H8" s="57" t="str">
        <x:v>2026-08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57" t="str">
        <x:v>2026-08-26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57" t="str">
        <x:v>2026-S01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4" customHeight="1">
      <x:c r="A11" s="33" t="str">
        <x:v>VQ source</x:v>
      </x:c>
      <x:c r="B11" s="34" t="str">
        <x:v>Libellé Matin</x:v>
      </x:c>
      <x:c r="C11" s="35" t="str">
        <x:v>Libellé Après-midi</x:v>
      </x:c>
      <x:c r="D11" s="2"/>
      <x:c r="E11" s="2"/>
      <x:c r="F11" s="2"/>
      <x:c r="G11" s="2"/>
      <x:c r="H11" s="57" t="str">
        <x:v>2026-S02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1" t="str">
        <x:v>VQ_11_40469_EIDS_GLF_DEBORD_POLEVIE</x:v>
      </x:c>
      <x:c r="B12" s="46" t="str">
        <x:v>EIDS_GLF_DEBORDEMENT</x:v>
      </x:c>
      <x:c r="C12" s="56" t="str">
        <x:v>EIDS_GLF_REBOND</x:v>
      </x:c>
      <x:c r="D12" s="2"/>
      <x:c r="E12" s="2"/>
      <x:c r="F12" s="2"/>
      <x:c r="G12" s="2"/>
      <x:c r="H12" s="57" t="str">
        <x:v>2026-S35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1" t="str">
        <x:v>VQ_11_40469_EIDS_GLF_DEBORD_MUTATION</x:v>
      </x:c>
      <x:c r="B13" s="46" t="str">
        <x:v>EIDS_GLF_DEBORDEMENT</x:v>
      </x:c>
      <x:c r="C13" s="56" t="str">
        <x:v>EIDS_GLF_REBOND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5" t="str">
        <x:v>VQ_11_40469_EIDS_GLF_MODIF_CLI</x:v>
      </x:c>
      <x:c r="B14" s="47" t="str">
        <x:v>EIDS_GLF_MODIF_CLI</x:v>
      </x:c>
      <x:c r="C14" s="52" t="str">
        <x:v>EIDS_GLF_MODIF_CLI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</x:mergeCells>
  <x:pageMargins left="0.7" right="0.7" top="0.75" bottom="0.75" header="0.3" footer="0.3"/>
  <x:tableParts count="2">
    <x:tablePart xmlns:r="http://schemas.openxmlformats.org/officeDocument/2006/relationships" r:id="R376bd879a4f74c4d"/>
    <x:tablePart xmlns:r="http://schemas.openxmlformats.org/officeDocument/2006/relationships" r:id="R20129f2b8a7f4739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Type période</x:v>
      </x:c>
      <x:c r="B1" s="32" t="str">
        <x:v>Période</x:v>
      </x:c>
      <x:c r="C1" s="32" t="str">
        <x:v>Début période</x:v>
      </x:c>
      <x:c r="D1" s="32" t="str">
        <x:v>Niveau</x:v>
      </x:c>
      <x:c r="E1" s="32" t="str">
        <x:v>VQ traitement</x:v>
      </x:c>
      <x:c r="F1" s="32" t="str">
        <x:v>Tranche</x:v>
      </x:c>
      <x:c r="G1" s="32" t="str">
        <x:v>Appels reçus</x:v>
      </x:c>
      <x:c r="H1" s="32" t="str">
        <x:v>Appels traités</x:v>
      </x:c>
      <x:c r="I1" s="32" t="str">
        <x:v>DMT pondéré sec</x:v>
      </x:c>
      <x:c r="J1" s="32" t="str">
        <x:v>Poids DMT</x:v>
      </x:c>
      <x:c r="K1" s="32" t="str">
        <x:v>DMC pondéré sec</x:v>
      </x:c>
      <x:c r="L1" s="15" t="str">
        <x:v>Poids DMC</x:v>
      </x:c>
      <x:c r="M1" s="2"/>
      <x:c r="N1" s="2"/>
      <x:c r="O1" s="2"/>
      <x:c r="P1" s="2"/>
      <x:c r="Q1" s="2"/>
    </x:row>
    <x:row r="2">
      <x:c r="A2" s="2" t="str">
        <x:v>Semaine</x:v>
      </x:c>
      <x:c r="B2" s="2" t="str">
        <x:v>2026-S01</x:v>
      </x:c>
      <x:c r="C2" s="59" t="n">
        <x:v>46020</x:v>
      </x:c>
      <x:c r="D2" s="2" t="str">
        <x:v>BILAN_GLOBAL</x:v>
      </x:c>
      <x:c r="E2" s="2" t="str">
        <x:v>Global</x:v>
      </x:c>
      <x:c r="F2" s="2" t="str">
        <x:v>Global</x:v>
      </x:c>
      <x:c r="G2" s="60" t="n">
        <x:v>36</x:v>
      </x:c>
      <x:c r="H2" s="60" t="n">
        <x:v>36</x:v>
      </x:c>
      <x:c r="I2" s="60" t="n">
        <x:v>22932</x:v>
      </x:c>
      <x:c r="J2" s="60" t="n">
        <x:v>36</x:v>
      </x:c>
      <x:c r="K2" s="60" t="n">
        <x:v>18396</x:v>
      </x:c>
      <x:c r="L2" s="60" t="n">
        <x:v>36</x:v>
      </x:c>
      <x:c r="M2" s="2"/>
      <x:c r="N2" s="2"/>
      <x:c r="O2" s="2"/>
      <x:c r="P2" s="2"/>
      <x:c r="Q2" s="2"/>
    </x:row>
    <x:row r="3">
      <x:c r="A3" s="2" t="str">
        <x:v>Semaine</x:v>
      </x:c>
      <x:c r="B3" s="2" t="str">
        <x:v>2026-S01</x:v>
      </x:c>
      <x:c r="C3" s="59" t="n">
        <x:v>46020</x:v>
      </x:c>
      <x:c r="D3" s="2" t="str">
        <x:v>BILAN_VQ</x:v>
      </x:c>
      <x:c r="E3" s="2" t="str">
        <x:v>VQ_11_40469_EIDS_GLF_DEBORD_MUTATION</x:v>
      </x:c>
      <x:c r="F3" s="2" t="str">
        <x:v>Global</x:v>
      </x:c>
      <x:c r="G3" s="60" t="n">
        <x:v>5</x:v>
      </x:c>
      <x:c r="H3" s="60" t="n">
        <x:v>5</x:v>
      </x:c>
      <x:c r="I3" s="60" t="n">
        <x:v>4540</x:v>
      </x:c>
      <x:c r="J3" s="60" t="n">
        <x:v>5</x:v>
      </x:c>
      <x:c r="K3" s="60" t="n">
        <x:v>3210</x:v>
      </x:c>
      <x:c r="L3" s="60" t="n">
        <x:v>5</x:v>
      </x:c>
      <x:c r="M3" s="2"/>
      <x:c r="N3" s="2"/>
      <x:c r="O3" s="2"/>
      <x:c r="P3" s="2"/>
      <x:c r="Q3" s="2"/>
    </x:row>
    <x:row r="4">
      <x:c r="A4" s="2" t="str">
        <x:v>Semaine</x:v>
      </x:c>
      <x:c r="B4" s="2" t="str">
        <x:v>2026-S01</x:v>
      </x:c>
      <x:c r="C4" s="59" t="n">
        <x:v>46020</x:v>
      </x:c>
      <x:c r="D4" s="2" t="str">
        <x:v>BILAN_VQ</x:v>
      </x:c>
      <x:c r="E4" s="2" t="str">
        <x:v>VQ_11_40469_EIDS_GLF_DEBORD_POLEVIE</x:v>
      </x:c>
      <x:c r="F4" s="2" t="str">
        <x:v>Global</x:v>
      </x:c>
      <x:c r="G4" s="60" t="n">
        <x:v>17</x:v>
      </x:c>
      <x:c r="H4" s="60" t="n">
        <x:v>17</x:v>
      </x:c>
      <x:c r="I4" s="60" t="n">
        <x:v>10642</x:v>
      </x:c>
      <x:c r="J4" s="60" t="n">
        <x:v>17</x:v>
      </x:c>
      <x:c r="K4" s="60" t="n">
        <x:v>8585</x:v>
      </x:c>
      <x:c r="L4" s="60" t="n">
        <x:v>17</x:v>
      </x:c>
      <x:c r="M4" s="2"/>
      <x:c r="N4" s="2"/>
      <x:c r="O4" s="2"/>
      <x:c r="P4" s="2"/>
      <x:c r="Q4" s="2"/>
    </x:row>
    <x:row r="5">
      <x:c r="A5" s="2" t="str">
        <x:v>Semaine</x:v>
      </x:c>
      <x:c r="B5" s="2" t="str">
        <x:v>2026-S01</x:v>
      </x:c>
      <x:c r="C5" s="59" t="n">
        <x:v>46020</x:v>
      </x:c>
      <x:c r="D5" s="2" t="str">
        <x:v>BILAN_VQ</x:v>
      </x:c>
      <x:c r="E5" s="2" t="str">
        <x:v>VQ_11_40469_EIDS_GLF_MODIF_CLI</x:v>
      </x:c>
      <x:c r="F5" s="2" t="str">
        <x:v>Global</x:v>
      </x:c>
      <x:c r="G5" s="60" t="n">
        <x:v>14</x:v>
      </x:c>
      <x:c r="H5" s="60" t="n">
        <x:v>14</x:v>
      </x:c>
      <x:c r="I5" s="60" t="n">
        <x:v>7756</x:v>
      </x:c>
      <x:c r="J5" s="60" t="n">
        <x:v>14</x:v>
      </x:c>
      <x:c r="K5" s="60" t="n">
        <x:v>6608</x:v>
      </x:c>
      <x:c r="L5" s="60" t="n">
        <x:v>14</x:v>
      </x:c>
      <x:c r="M5" s="2"/>
      <x:c r="N5" s="2"/>
      <x:c r="O5" s="2"/>
      <x:c r="P5" s="2"/>
      <x:c r="Q5" s="2"/>
    </x:row>
    <x:row r="6">
      <x:c r="A6" s="2" t="str">
        <x:v>Mois</x:v>
      </x:c>
      <x:c r="B6" s="2" t="str">
        <x:v>2026-01</x:v>
      </x:c>
      <x:c r="C6" s="59" t="n">
        <x:v>46023</x:v>
      </x:c>
      <x:c r="D6" s="2" t="str">
        <x:v>BILAN_GLOBAL</x:v>
      </x:c>
      <x:c r="E6" s="2" t="str">
        <x:v>Global</x:v>
      </x:c>
      <x:c r="F6" s="2" t="str">
        <x:v>Global</x:v>
      </x:c>
      <x:c r="G6" s="60" t="n">
        <x:v>182</x:v>
      </x:c>
      <x:c r="H6" s="60" t="n">
        <x:v>182</x:v>
      </x:c>
      <x:c r="I6" s="60" t="n">
        <x:v>105104</x:v>
      </x:c>
      <x:c r="J6" s="60" t="n">
        <x:v>182</x:v>
      </x:c>
      <x:c r="K6" s="60" t="n">
        <x:v>85822</x:v>
      </x:c>
      <x:c r="L6" s="60" t="n">
        <x:v>182</x:v>
      </x:c>
      <x:c r="M6" s="2"/>
      <x:c r="N6" s="2"/>
      <x:c r="O6" s="2"/>
      <x:c r="P6" s="2"/>
      <x:c r="Q6" s="2"/>
    </x:row>
    <x:row r="7">
      <x:c r="A7" s="2" t="str">
        <x:v>Année</x:v>
      </x:c>
      <x:c r="B7" s="2" t="str">
        <x:v>2026</x:v>
      </x:c>
      <x:c r="C7" s="59" t="n">
        <x:v>46023</x:v>
      </x:c>
      <x:c r="D7" s="2" t="str">
        <x:v>BILAN_GLOBAL</x:v>
      </x:c>
      <x:c r="E7" s="2" t="str">
        <x:v>Global</x:v>
      </x:c>
      <x:c r="F7" s="2" t="str">
        <x:v>Global</x:v>
      </x:c>
      <x:c r="G7" s="60" t="n">
        <x:v>182</x:v>
      </x:c>
      <x:c r="H7" s="60" t="n">
        <x:v>182</x:v>
      </x:c>
      <x:c r="I7" s="60" t="n">
        <x:v>105104</x:v>
      </x:c>
      <x:c r="J7" s="60" t="n">
        <x:v>182</x:v>
      </x:c>
      <x:c r="K7" s="60" t="n">
        <x:v>85822</x:v>
      </x:c>
      <x:c r="L7" s="60" t="n">
        <x:v>182</x:v>
      </x:c>
      <x:c r="M7" s="2"/>
      <x:c r="N7" s="2"/>
      <x:c r="O7" s="2"/>
      <x:c r="P7" s="2"/>
      <x:c r="Q7" s="2"/>
    </x:row>
    <x:row r="8">
      <x:c r="A8" s="2" t="str">
        <x:v>Mois</x:v>
      </x:c>
      <x:c r="B8" s="2" t="str">
        <x:v>2026-01</x:v>
      </x:c>
      <x:c r="C8" s="59" t="n">
        <x:v>46023</x:v>
      </x:c>
      <x:c r="D8" s="2" t="str">
        <x:v>BILAN_VQ</x:v>
      </x:c>
      <x:c r="E8" s="2" t="str">
        <x:v>VQ_11_40469_EIDS_GLF_DEBORD_MUTATION</x:v>
      </x:c>
      <x:c r="F8" s="2" t="str">
        <x:v>Global</x:v>
      </x:c>
      <x:c r="G8" s="60" t="n">
        <x:v>96</x:v>
      </x:c>
      <x:c r="H8" s="60" t="n">
        <x:v>96</x:v>
      </x:c>
      <x:c r="I8" s="60" t="n">
        <x:v>61891</x:v>
      </x:c>
      <x:c r="J8" s="60" t="n">
        <x:v>96</x:v>
      </x:c>
      <x:c r="K8" s="60" t="n">
        <x:v>48205</x:v>
      </x:c>
      <x:c r="L8" s="60" t="n">
        <x:v>96</x:v>
      </x:c>
      <x:c r="M8" s="2"/>
      <x:c r="N8" s="2"/>
      <x:c r="O8" s="2"/>
      <x:c r="P8" s="2"/>
      <x:c r="Q8" s="2"/>
    </x:row>
    <x:row r="9">
      <x:c r="A9" s="2" t="str">
        <x:v>Année</x:v>
      </x:c>
      <x:c r="B9" s="2" t="str">
        <x:v>2026</x:v>
      </x:c>
      <x:c r="C9" s="59" t="n">
        <x:v>46023</x:v>
      </x:c>
      <x:c r="D9" s="2" t="str">
        <x:v>BILAN_VQ</x:v>
      </x:c>
      <x:c r="E9" s="2" t="str">
        <x:v>VQ_11_40469_EIDS_GLF_DEBORD_MUTATION</x:v>
      </x:c>
      <x:c r="F9" s="2" t="str">
        <x:v>Global</x:v>
      </x:c>
      <x:c r="G9" s="60" t="n">
        <x:v>96</x:v>
      </x:c>
      <x:c r="H9" s="60" t="n">
        <x:v>96</x:v>
      </x:c>
      <x:c r="I9" s="60" t="n">
        <x:v>61891</x:v>
      </x:c>
      <x:c r="J9" s="60" t="n">
        <x:v>96</x:v>
      </x:c>
      <x:c r="K9" s="60" t="n">
        <x:v>48205</x:v>
      </x:c>
      <x:c r="L9" s="60" t="n">
        <x:v>96</x:v>
      </x:c>
      <x:c r="M9" s="2"/>
      <x:c r="N9" s="2"/>
      <x:c r="O9" s="2"/>
      <x:c r="P9" s="2"/>
      <x:c r="Q9" s="2"/>
    </x:row>
    <x:row r="10">
      <x:c r="A10" s="2" t="str">
        <x:v>Mois</x:v>
      </x:c>
      <x:c r="B10" s="2" t="str">
        <x:v>2026-01</x:v>
      </x:c>
      <x:c r="C10" s="59" t="n">
        <x:v>46023</x:v>
      </x:c>
      <x:c r="D10" s="2" t="str">
        <x:v>BILAN_VQ</x:v>
      </x:c>
      <x:c r="E10" s="2" t="str">
        <x:v>VQ_11_40469_EIDS_GLF_DEBORD_POLEVIE</x:v>
      </x:c>
      <x:c r="F10" s="2" t="str">
        <x:v>Global</x:v>
      </x:c>
      <x:c r="G10" s="60" t="n">
        <x:v>69</x:v>
      </x:c>
      <x:c r="H10" s="60" t="n">
        <x:v>69</x:v>
      </x:c>
      <x:c r="I10" s="60" t="n">
        <x:v>41934</x:v>
      </x:c>
      <x:c r="J10" s="60" t="n">
        <x:v>69</x:v>
      </x:c>
      <x:c r="K10" s="60" t="n">
        <x:v>33268</x:v>
      </x:c>
      <x:c r="L10" s="60" t="n">
        <x:v>69</x:v>
      </x:c>
      <x:c r="M10" s="2"/>
      <x:c r="N10" s="2"/>
      <x:c r="O10" s="2"/>
      <x:c r="P10" s="2"/>
      <x:c r="Q10" s="2"/>
    </x:row>
    <x:row r="11">
      <x:c r="A11" s="2" t="str">
        <x:v>Année</x:v>
      </x:c>
      <x:c r="B11" s="2" t="str">
        <x:v>2026</x:v>
      </x:c>
      <x:c r="C11" s="59" t="n">
        <x:v>46023</x:v>
      </x:c>
      <x:c r="D11" s="2" t="str">
        <x:v>BILAN_VQ</x:v>
      </x:c>
      <x:c r="E11" s="2" t="str">
        <x:v>VQ_11_40469_EIDS_GLF_DEBORD_POLEVIE</x:v>
      </x:c>
      <x:c r="F11" s="2" t="str">
        <x:v>Global</x:v>
      </x:c>
      <x:c r="G11" s="60" t="n">
        <x:v>69</x:v>
      </x:c>
      <x:c r="H11" s="60" t="n">
        <x:v>69</x:v>
      </x:c>
      <x:c r="I11" s="60" t="n">
        <x:v>41934</x:v>
      </x:c>
      <x:c r="J11" s="60" t="n">
        <x:v>69</x:v>
      </x:c>
      <x:c r="K11" s="60" t="n">
        <x:v>33268</x:v>
      </x:c>
      <x:c r="L11" s="60" t="n">
        <x:v>69</x:v>
      </x:c>
      <x:c r="M11" s="2"/>
      <x:c r="N11" s="2"/>
      <x:c r="O11" s="2"/>
      <x:c r="P11" s="2"/>
      <x:c r="Q11" s="2"/>
    </x:row>
    <x:row r="12">
      <x:c r="A12" s="2" t="str">
        <x:v>Mois</x:v>
      </x:c>
      <x:c r="B12" s="2" t="str">
        <x:v>2026-01</x:v>
      </x:c>
      <x:c r="C12" s="59" t="n">
        <x:v>46023</x:v>
      </x:c>
      <x:c r="D12" s="2" t="str">
        <x:v>BILAN_VQ</x:v>
      </x:c>
      <x:c r="E12" s="2" t="str">
        <x:v>VQ_11_40469_EIDS_GLF_MODIF_CLI</x:v>
      </x:c>
      <x:c r="F12" s="2" t="str">
        <x:v>Global</x:v>
      </x:c>
      <x:c r="G12" s="60" t="n">
        <x:v>90</x:v>
      </x:c>
      <x:c r="H12" s="60" t="n">
        <x:v>90</x:v>
      </x:c>
      <x:c r="I12" s="60" t="n">
        <x:v>44806</x:v>
      </x:c>
      <x:c r="J12" s="60" t="n">
        <x:v>90</x:v>
      </x:c>
      <x:c r="K12" s="60" t="n">
        <x:v>36624</x:v>
      </x:c>
      <x:c r="L12" s="60" t="n">
        <x:v>90</x:v>
      </x:c>
      <x:c r="M12" s="2"/>
      <x:c r="N12" s="2"/>
      <x:c r="O12" s="2"/>
      <x:c r="P12" s="2"/>
      <x:c r="Q12" s="2"/>
    </x:row>
    <x:row r="13">
      <x:c r="A13" s="2" t="str">
        <x:v>Année</x:v>
      </x:c>
      <x:c r="B13" s="2" t="str">
        <x:v>2026</x:v>
      </x:c>
      <x:c r="C13" s="59" t="n">
        <x:v>46023</x:v>
      </x:c>
      <x:c r="D13" s="2" t="str">
        <x:v>BILAN_VQ</x:v>
      </x:c>
      <x:c r="E13" s="2" t="str">
        <x:v>VQ_11_40469_EIDS_GLF_MODIF_CLI</x:v>
      </x:c>
      <x:c r="F13" s="2" t="str">
        <x:v>Global</x:v>
      </x:c>
      <x:c r="G13" s="60" t="n">
        <x:v>90</x:v>
      </x:c>
      <x:c r="H13" s="60" t="n">
        <x:v>90</x:v>
      </x:c>
      <x:c r="I13" s="60" t="n">
        <x:v>44806</x:v>
      </x:c>
      <x:c r="J13" s="60" t="n">
        <x:v>90</x:v>
      </x:c>
      <x:c r="K13" s="60" t="n">
        <x:v>36624</x:v>
      </x:c>
      <x:c r="L13" s="60" t="n">
        <x:v>90</x:v>
      </x:c>
      <x:c r="M13" s="2"/>
      <x:c r="N13" s="2"/>
      <x:c r="O13" s="2"/>
      <x:c r="P13" s="2"/>
      <x:c r="Q13" s="2"/>
    </x:row>
    <x:row r="14">
      <x:c r="A14" s="2" t="str">
        <x:v>Année</x:v>
      </x:c>
      <x:c r="B14" s="2" t="str">
        <x:v>2026</x:v>
      </x:c>
      <x:c r="C14" s="59" t="n">
        <x:v>46023</x:v>
      </x:c>
      <x:c r="D14" s="2" t="str">
        <x:v>GENESYS_TRANCHE</x:v>
      </x:c>
      <x:c r="E14" s="2" t="str">
        <x:v>EIDS_GLF_DEBORDEMENT</x:v>
      </x:c>
      <x:c r="F14" s="2" t="str">
        <x:v>Matin</x:v>
      </x:c>
      <x:c r="G14" s="60" t="n">
        <x:v>17</x:v>
      </x:c>
      <x:c r="H14" s="60" t="n">
        <x:v>17</x:v>
      </x:c>
      <x:c r="I14" s="60" t="n">
        <x:v>10285</x:v>
      </x:c>
      <x:c r="J14" s="60" t="n">
        <x:v>17</x:v>
      </x:c>
      <x:c r="K14" s="60" t="n">
        <x:v>8282</x:v>
      </x:c>
      <x:c r="L14" s="60" t="n">
        <x:v>17</x:v>
      </x:c>
      <x:c r="M14" s="2"/>
      <x:c r="N14" s="2"/>
      <x:c r="O14" s="2"/>
      <x:c r="P14" s="2"/>
      <x:c r="Q14" s="2"/>
    </x:row>
    <x:row r="15">
      <x:c r="A15" s="2" t="str">
        <x:v>Année</x:v>
      </x:c>
      <x:c r="B15" s="2" t="str">
        <x:v>2026</x:v>
      </x:c>
      <x:c r="C15" s="59" t="n">
        <x:v>46023</x:v>
      </x:c>
      <x:c r="D15" s="2" t="str">
        <x:v>GENESYS_TRANCHE</x:v>
      </x:c>
      <x:c r="E15" s="2" t="str">
        <x:v>EIDS_GLF_MODIF_CLI</x:v>
      </x:c>
      <x:c r="F15" s="2" t="str">
        <x:v>Après-midi</x:v>
      </x:c>
      <x:c r="G15" s="60" t="n">
        <x:v>21</x:v>
      </x:c>
      <x:c r="H15" s="60" t="n">
        <x:v>21</x:v>
      </x:c>
      <x:c r="I15" s="60" t="n">
        <x:v>11006</x:v>
      </x:c>
      <x:c r="J15" s="60" t="n">
        <x:v>21</x:v>
      </x:c>
      <x:c r="K15" s="60" t="n">
        <x:v>8792</x:v>
      </x:c>
      <x:c r="L15" s="60" t="n">
        <x:v>21</x:v>
      </x:c>
      <x:c r="M15" s="2"/>
      <x:c r="N15" s="2"/>
      <x:c r="O15" s="2"/>
      <x:c r="P15" s="2"/>
      <x:c r="Q15" s="2"/>
    </x:row>
    <x:row r="16">
      <x:c r="A16" s="2" t="str">
        <x:v>Année</x:v>
      </x:c>
      <x:c r="B16" s="2" t="str">
        <x:v>2026</x:v>
      </x:c>
      <x:c r="C16" s="59" t="n">
        <x:v>46023</x:v>
      </x:c>
      <x:c r="D16" s="2" t="str">
        <x:v>GENESYS_TRANCHE</x:v>
      </x:c>
      <x:c r="E16" s="2" t="str">
        <x:v>EIDS_GLF_MODIF_CLI</x:v>
      </x:c>
      <x:c r="F16" s="2" t="str">
        <x:v>Matin</x:v>
      </x:c>
      <x:c r="G16" s="60" t="n">
        <x:v>25</x:v>
      </x:c>
      <x:c r="H16" s="60" t="n">
        <x:v>25</x:v>
      </x:c>
      <x:c r="I16" s="60" t="n">
        <x:v>15030</x:v>
      </x:c>
      <x:c r="J16" s="60" t="n">
        <x:v>25</x:v>
      </x:c>
      <x:c r="K16" s="60" t="n">
        <x:v>12511</x:v>
      </x:c>
      <x:c r="L16" s="60" t="n">
        <x:v>25</x:v>
      </x:c>
      <x:c r="M16" s="2"/>
      <x:c r="N16" s="2"/>
      <x:c r="O16" s="2"/>
      <x:c r="P16" s="2"/>
      <x:c r="Q16" s="2"/>
    </x:row>
    <x:row r="17">
      <x:c r="A17" s="2" t="str">
        <x:v>Année</x:v>
      </x:c>
      <x:c r="B17" s="2" t="str">
        <x:v>2026</x:v>
      </x:c>
      <x:c r="C17" s="59" t="n">
        <x:v>46023</x:v>
      </x:c>
      <x:c r="D17" s="2" t="str">
        <x:v>GENESYS_TRANCHE</x:v>
      </x:c>
      <x:c r="E17" s="2" t="str">
        <x:v>EIDS_GLF_REBOND</x:v>
      </x:c>
      <x:c r="F17" s="2" t="str">
        <x:v>Après-midi</x:v>
      </x:c>
      <x:c r="G17" s="60" t="n">
        <x:v>25</x:v>
      </x:c>
      <x:c r="H17" s="60" t="n">
        <x:v>25</x:v>
      </x:c>
      <x:c r="I17" s="60" t="n">
        <x:v>22064</x:v>
      </x:c>
      <x:c r="J17" s="60" t="n">
        <x:v>25</x:v>
      </x:c>
      <x:c r="K17" s="60" t="n">
        <x:v>17056</x:v>
      </x:c>
      <x:c r="L17" s="60" t="n">
        <x:v>25</x:v>
      </x:c>
      <x:c r="M17" s="2"/>
      <x:c r="N17" s="2"/>
      <x:c r="O17" s="2"/>
      <x:c r="P17" s="2"/>
      <x:c r="Q17" s="2"/>
    </x:row>
    <x:row r="18">
      <x:c r="A18" s="2" t="str">
        <x:v>Jour</x:v>
      </x:c>
      <x:c r="B18" s="2" t="str">
        <x:v>2026-01-02</x:v>
      </x:c>
      <x:c r="C18" s="59" t="n">
        <x:v>46024</x:v>
      </x:c>
      <x:c r="D18" s="2" t="str">
        <x:v>BILAN_GLOBAL</x:v>
      </x:c>
      <x:c r="E18" s="2" t="str">
        <x:v>Global</x:v>
      </x:c>
      <x:c r="F18" s="2" t="str">
        <x:v>Global</x:v>
      </x:c>
      <x:c r="G18" s="60" t="n">
        <x:v>36</x:v>
      </x:c>
      <x:c r="H18" s="60" t="n">
        <x:v>36</x:v>
      </x:c>
      <x:c r="I18" s="60" t="n">
        <x:v>22932</x:v>
      </x:c>
      <x:c r="J18" s="60" t="n">
        <x:v>36</x:v>
      </x:c>
      <x:c r="K18" s="60" t="n">
        <x:v>18396</x:v>
      </x:c>
      <x:c r="L18" s="60" t="n">
        <x:v>36</x:v>
      </x:c>
      <x:c r="M18" s="2"/>
      <x:c r="N18" s="2"/>
      <x:c r="O18" s="2"/>
      <x:c r="P18" s="2"/>
      <x:c r="Q18" s="2"/>
    </x:row>
    <x:row r="19">
      <x:c r="A19" s="2" t="str">
        <x:v>Jour</x:v>
      </x:c>
      <x:c r="B19" s="2" t="str">
        <x:v>2026-01-02</x:v>
      </x:c>
      <x:c r="C19" s="59" t="n">
        <x:v>46024</x:v>
      </x:c>
      <x:c r="D19" s="2" t="str">
        <x:v>BILAN_VQ</x:v>
      </x:c>
      <x:c r="E19" s="2" t="str">
        <x:v>VQ_11_40469_EIDS_GLF_DEBORD_MUTATION</x:v>
      </x:c>
      <x:c r="F19" s="2" t="str">
        <x:v>Global</x:v>
      </x:c>
      <x:c r="G19" s="60" t="n">
        <x:v>5</x:v>
      </x:c>
      <x:c r="H19" s="60" t="n">
        <x:v>5</x:v>
      </x:c>
      <x:c r="I19" s="60" t="n">
        <x:v>4540</x:v>
      </x:c>
      <x:c r="J19" s="60" t="n">
        <x:v>5</x:v>
      </x:c>
      <x:c r="K19" s="60" t="n">
        <x:v>3210</x:v>
      </x:c>
      <x:c r="L19" s="60" t="n">
        <x:v>5</x:v>
      </x:c>
      <x:c r="M19" s="2"/>
      <x:c r="N19" s="2"/>
      <x:c r="O19" s="2"/>
      <x:c r="P19" s="2"/>
      <x:c r="Q19" s="2"/>
    </x:row>
    <x:row r="20">
      <x:c r="A20" s="2" t="str">
        <x:v>Jour</x:v>
      </x:c>
      <x:c r="B20" s="2" t="str">
        <x:v>2026-01-02</x:v>
      </x:c>
      <x:c r="C20" s="59" t="n">
        <x:v>46024</x:v>
      </x:c>
      <x:c r="D20" s="2" t="str">
        <x:v>BILAN_VQ</x:v>
      </x:c>
      <x:c r="E20" s="2" t="str">
        <x:v>VQ_11_40469_EIDS_GLF_DEBORD_POLEVIE</x:v>
      </x:c>
      <x:c r="F20" s="2" t="str">
        <x:v>Global</x:v>
      </x:c>
      <x:c r="G20" s="60" t="n">
        <x:v>17</x:v>
      </x:c>
      <x:c r="H20" s="60" t="n">
        <x:v>17</x:v>
      </x:c>
      <x:c r="I20" s="60" t="n">
        <x:v>10642</x:v>
      </x:c>
      <x:c r="J20" s="60" t="n">
        <x:v>17</x:v>
      </x:c>
      <x:c r="K20" s="60" t="n">
        <x:v>8585</x:v>
      </x:c>
      <x:c r="L20" s="60" t="n">
        <x:v>17</x:v>
      </x:c>
      <x:c r="M20" s="2"/>
      <x:c r="N20" s="2"/>
      <x:c r="O20" s="2"/>
      <x:c r="P20" s="2"/>
      <x:c r="Q20" s="2"/>
    </x:row>
    <x:row r="21">
      <x:c r="A21" s="2" t="str">
        <x:v>Jour</x:v>
      </x:c>
      <x:c r="B21" s="2" t="str">
        <x:v>2026-01-02</x:v>
      </x:c>
      <x:c r="C21" s="59" t="n">
        <x:v>46024</x:v>
      </x:c>
      <x:c r="D21" s="2" t="str">
        <x:v>BILAN_VQ</x:v>
      </x:c>
      <x:c r="E21" s="2" t="str">
        <x:v>VQ_11_40469_EIDS_GLF_MODIF_CLI</x:v>
      </x:c>
      <x:c r="F21" s="2" t="str">
        <x:v>Global</x:v>
      </x:c>
      <x:c r="G21" s="60" t="n">
        <x:v>14</x:v>
      </x:c>
      <x:c r="H21" s="60" t="n">
        <x:v>14</x:v>
      </x:c>
      <x:c r="I21" s="60" t="n">
        <x:v>7756</x:v>
      </x:c>
      <x:c r="J21" s="60" t="n">
        <x:v>14</x:v>
      </x:c>
      <x:c r="K21" s="60" t="n">
        <x:v>6608</x:v>
      </x:c>
      <x:c r="L21" s="60" t="n">
        <x:v>14</x:v>
      </x:c>
      <x:c r="M21" s="2"/>
      <x:c r="N21" s="2"/>
      <x:c r="O21" s="2"/>
      <x:c r="P21" s="2"/>
      <x:c r="Q21" s="2"/>
    </x:row>
    <x:row r="22">
      <x:c r="A22" s="2" t="str">
        <x:v>Jour</x:v>
      </x:c>
      <x:c r="B22" s="2" t="str">
        <x:v>2026-01-05</x:v>
      </x:c>
      <x:c r="C22" s="59" t="n">
        <x:v>46027</x:v>
      </x:c>
      <x:c r="D22" s="2" t="str">
        <x:v>BILAN_GLOBAL</x:v>
      </x:c>
      <x:c r="E22" s="2" t="str">
        <x:v>Global</x:v>
      </x:c>
      <x:c r="F22" s="2" t="str">
        <x:v>Global</x:v>
      </x:c>
      <x:c r="G22" s="60" t="n">
        <x:v>68</x:v>
      </x:c>
      <x:c r="H22" s="60" t="n">
        <x:v>68</x:v>
      </x:c>
      <x:c r="I22" s="60" t="n">
        <x:v>37400</x:v>
      </x:c>
      <x:c r="J22" s="60" t="n">
        <x:v>68</x:v>
      </x:c>
      <x:c r="K22" s="60" t="n">
        <x:v>30532</x:v>
      </x:c>
      <x:c r="L22" s="60" t="n">
        <x:v>68</x:v>
      </x:c>
      <x:c r="M22" s="2"/>
      <x:c r="N22" s="2"/>
      <x:c r="O22" s="2"/>
      <x:c r="P22" s="2"/>
      <x:c r="Q22" s="2"/>
    </x:row>
    <x:row r="23">
      <x:c r="A23" s="2" t="str">
        <x:v>Semaine</x:v>
      </x:c>
      <x:c r="B23" s="2" t="str">
        <x:v>2026-S02</x:v>
      </x:c>
      <x:c r="C23" s="59" t="n">
        <x:v>46027</x:v>
      </x:c>
      <x:c r="D23" s="2" t="str">
        <x:v>BILAN_GLOBAL</x:v>
      </x:c>
      <x:c r="E23" s="2" t="str">
        <x:v>Global</x:v>
      </x:c>
      <x:c r="F23" s="2" t="str">
        <x:v>Global</x:v>
      </x:c>
      <x:c r="G23" s="60" t="n">
        <x:v>146</x:v>
      </x:c>
      <x:c r="H23" s="60" t="n">
        <x:v>146</x:v>
      </x:c>
      <x:c r="I23" s="60" t="n">
        <x:v>82172</x:v>
      </x:c>
      <x:c r="J23" s="60" t="n">
        <x:v>146</x:v>
      </x:c>
      <x:c r="K23" s="60" t="n">
        <x:v>67426</x:v>
      </x:c>
      <x:c r="L23" s="60" t="n">
        <x:v>146</x:v>
      </x:c>
      <x:c r="M23" s="2"/>
      <x:c r="N23" s="2"/>
      <x:c r="O23" s="2"/>
      <x:c r="P23" s="2"/>
      <x:c r="Q23" s="2"/>
    </x:row>
    <x:row r="24">
      <x:c r="A24" s="2" t="str">
        <x:v>Jour</x:v>
      </x:c>
      <x:c r="B24" s="2" t="str">
        <x:v>2026-01-05</x:v>
      </x:c>
      <x:c r="C24" s="59" t="n">
        <x:v>46027</x:v>
      </x:c>
      <x:c r="D24" s="2" t="str">
        <x:v>BILAN_VQ</x:v>
      </x:c>
      <x:c r="E24" s="2" t="str">
        <x:v>VQ_11_40469_EIDS_GLF_DEBORD_MUTATION</x:v>
      </x:c>
      <x:c r="F24" s="2" t="str">
        <x:v>Global</x:v>
      </x:c>
      <x:c r="G24" s="60" t="n">
        <x:v>24</x:v>
      </x:c>
      <x:c r="H24" s="60" t="n">
        <x:v>24</x:v>
      </x:c>
      <x:c r="I24" s="60" t="n">
        <x:v>14352</x:v>
      </x:c>
      <x:c r="J24" s="60" t="n">
        <x:v>24</x:v>
      </x:c>
      <x:c r="K24" s="60" t="n">
        <x:v>11496</x:v>
      </x:c>
      <x:c r="L24" s="60" t="n">
        <x:v>24</x:v>
      </x:c>
      <x:c r="M24" s="2"/>
      <x:c r="N24" s="2"/>
      <x:c r="O24" s="2"/>
      <x:c r="P24" s="2"/>
      <x:c r="Q24" s="2"/>
    </x:row>
    <x:row r="25">
      <x:c r="A25" s="2" t="str">
        <x:v>Semaine</x:v>
      </x:c>
      <x:c r="B25" s="2" t="str">
        <x:v>2026-S02</x:v>
      </x:c>
      <x:c r="C25" s="59" t="n">
        <x:v>46027</x:v>
      </x:c>
      <x:c r="D25" s="2" t="str">
        <x:v>BILAN_VQ</x:v>
      </x:c>
      <x:c r="E25" s="2" t="str">
        <x:v>VQ_11_40469_EIDS_GLF_DEBORD_MUTATION</x:v>
      </x:c>
      <x:c r="F25" s="2" t="str">
        <x:v>Global</x:v>
      </x:c>
      <x:c r="G25" s="60" t="n">
        <x:v>91</x:v>
      </x:c>
      <x:c r="H25" s="60" t="n">
        <x:v>91</x:v>
      </x:c>
      <x:c r="I25" s="60" t="n">
        <x:v>57351</x:v>
      </x:c>
      <x:c r="J25" s="60" t="n">
        <x:v>91</x:v>
      </x:c>
      <x:c r="K25" s="60" t="n">
        <x:v>44995</x:v>
      </x:c>
      <x:c r="L25" s="60" t="n">
        <x:v>91</x:v>
      </x:c>
      <x:c r="M25" s="2"/>
      <x:c r="N25" s="2"/>
      <x:c r="O25" s="2"/>
      <x:c r="P25" s="2"/>
      <x:c r="Q25" s="2"/>
    </x:row>
    <x:row r="26">
      <x:c r="A26" s="2" t="str">
        <x:v>Jour</x:v>
      </x:c>
      <x:c r="B26" s="2" t="str">
        <x:v>2026-01-05</x:v>
      </x:c>
      <x:c r="C26" s="59" t="n">
        <x:v>46027</x:v>
      </x:c>
      <x:c r="D26" s="2" t="str">
        <x:v>BILAN_VQ</x:v>
      </x:c>
      <x:c r="E26" s="2" t="str">
        <x:v>VQ_11_40469_EIDS_GLF_DEBORD_POLEVIE</x:v>
      </x:c>
      <x:c r="F26" s="2" t="str">
        <x:v>Global</x:v>
      </x:c>
      <x:c r="G26" s="60" t="n">
        <x:v>15</x:v>
      </x:c>
      <x:c r="H26" s="60" t="n">
        <x:v>15</x:v>
      </x:c>
      <x:c r="I26" s="60" t="n">
        <x:v>9225</x:v>
      </x:c>
      <x:c r="J26" s="60" t="n">
        <x:v>15</x:v>
      </x:c>
      <x:c r="K26" s="60" t="n">
        <x:v>7260</x:v>
      </x:c>
      <x:c r="L26" s="60" t="n">
        <x:v>15</x:v>
      </x:c>
      <x:c r="M26" s="2"/>
      <x:c r="N26" s="2"/>
      <x:c r="O26" s="2"/>
      <x:c r="P26" s="2"/>
      <x:c r="Q26" s="2"/>
    </x:row>
    <x:row r="27">
      <x:c r="A27" s="2" t="str">
        <x:v>Semaine</x:v>
      </x:c>
      <x:c r="B27" s="2" t="str">
        <x:v>2026-S02</x:v>
      </x:c>
      <x:c r="C27" s="59" t="n">
        <x:v>46027</x:v>
      </x:c>
      <x:c r="D27" s="2" t="str">
        <x:v>BILAN_VQ</x:v>
      </x:c>
      <x:c r="E27" s="2" t="str">
        <x:v>VQ_11_40469_EIDS_GLF_DEBORD_POLEVIE</x:v>
      </x:c>
      <x:c r="F27" s="2" t="str">
        <x:v>Global</x:v>
      </x:c>
      <x:c r="G27" s="60" t="n">
        <x:v>52</x:v>
      </x:c>
      <x:c r="H27" s="60" t="n">
        <x:v>52</x:v>
      </x:c>
      <x:c r="I27" s="60" t="n">
        <x:v>31292</x:v>
      </x:c>
      <x:c r="J27" s="60" t="n">
        <x:v>52</x:v>
      </x:c>
      <x:c r="K27" s="60" t="n">
        <x:v>24683</x:v>
      </x:c>
      <x:c r="L27" s="60" t="n">
        <x:v>52</x:v>
      </x:c>
      <x:c r="M27" s="2"/>
      <x:c r="N27" s="2"/>
      <x:c r="O27" s="2"/>
      <x:c r="P27" s="2"/>
      <x:c r="Q27" s="2"/>
    </x:row>
    <x:row r="28">
      <x:c r="A28" s="2" t="str">
        <x:v>Jour</x:v>
      </x:c>
      <x:c r="B28" s="2" t="str">
        <x:v>2026-01-05</x:v>
      </x:c>
      <x:c r="C28" s="59" t="n">
        <x:v>46027</x:v>
      </x:c>
      <x:c r="D28" s="2" t="str">
        <x:v>BILAN_VQ</x:v>
      </x:c>
      <x:c r="E28" s="2" t="str">
        <x:v>VQ_11_40469_EIDS_GLF_MODIF_CLI</x:v>
      </x:c>
      <x:c r="F28" s="2" t="str">
        <x:v>Global</x:v>
      </x:c>
      <x:c r="G28" s="60" t="n">
        <x:v>29</x:v>
      </x:c>
      <x:c r="H28" s="60" t="n">
        <x:v>29</x:v>
      </x:c>
      <x:c r="I28" s="60" t="n">
        <x:v>13804</x:v>
      </x:c>
      <x:c r="J28" s="60" t="n">
        <x:v>29</x:v>
      </x:c>
      <x:c r="K28" s="60" t="n">
        <x:v>11774</x:v>
      </x:c>
      <x:c r="L28" s="60" t="n">
        <x:v>29</x:v>
      </x:c>
      <x:c r="M28" s="2"/>
      <x:c r="N28" s="2"/>
      <x:c r="O28" s="2"/>
      <x:c r="P28" s="2"/>
      <x:c r="Q28" s="2"/>
    </x:row>
    <x:row r="29">
      <x:c r="A29" s="2" t="str">
        <x:v>Semaine</x:v>
      </x:c>
      <x:c r="B29" s="2" t="str">
        <x:v>2026-S02</x:v>
      </x:c>
      <x:c r="C29" s="59" t="n">
        <x:v>46027</x:v>
      </x:c>
      <x:c r="D29" s="2" t="str">
        <x:v>BILAN_VQ</x:v>
      </x:c>
      <x:c r="E29" s="2" t="str">
        <x:v>VQ_11_40469_EIDS_GLF_MODIF_CLI</x:v>
      </x:c>
      <x:c r="F29" s="2" t="str">
        <x:v>Global</x:v>
      </x:c>
      <x:c r="G29" s="60" t="n">
        <x:v>76</x:v>
      </x:c>
      <x:c r="H29" s="60" t="n">
        <x:v>76</x:v>
      </x:c>
      <x:c r="I29" s="60" t="n">
        <x:v>37050</x:v>
      </x:c>
      <x:c r="J29" s="60" t="n">
        <x:v>76</x:v>
      </x:c>
      <x:c r="K29" s="60" t="n">
        <x:v>30016</x:v>
      </x:c>
      <x:c r="L29" s="60" t="n">
        <x:v>76</x:v>
      </x:c>
      <x:c r="M29" s="2"/>
      <x:c r="N29" s="2"/>
      <x:c r="O29" s="2"/>
      <x:c r="P29" s="2"/>
      <x:c r="Q29" s="2"/>
    </x:row>
    <x:row r="30">
      <x:c r="A30" s="2" t="str">
        <x:v>Jour</x:v>
      </x:c>
      <x:c r="B30" s="2" t="str">
        <x:v>2026-01-06</x:v>
      </x:c>
      <x:c r="C30" s="59" t="n">
        <x:v>46028</x:v>
      </x:c>
      <x:c r="D30" s="2" t="str">
        <x:v>BILAN_GLOBAL</x:v>
      </x:c>
      <x:c r="E30" s="2" t="str">
        <x:v>Global</x:v>
      </x:c>
      <x:c r="F30" s="2" t="str">
        <x:v>Global</x:v>
      </x:c>
      <x:c r="G30" s="60" t="n">
        <x:v>78</x:v>
      </x:c>
      <x:c r="H30" s="60" t="n">
        <x:v>78</x:v>
      </x:c>
      <x:c r="I30" s="60" t="n">
        <x:v>44772</x:v>
      </x:c>
      <x:c r="J30" s="60" t="n">
        <x:v>78</x:v>
      </x:c>
      <x:c r="K30" s="60" t="n">
        <x:v>36894</x:v>
      </x:c>
      <x:c r="L30" s="60" t="n">
        <x:v>78</x:v>
      </x:c>
      <x:c r="M30" s="2"/>
      <x:c r="N30" s="2"/>
      <x:c r="O30" s="2"/>
      <x:c r="P30" s="2"/>
      <x:c r="Q30" s="2"/>
    </x:row>
    <x:row r="31">
      <x:c r="A31" s="2" t="str">
        <x:v>Jour</x:v>
      </x:c>
      <x:c r="B31" s="2" t="str">
        <x:v>2026-01-06</x:v>
      </x:c>
      <x:c r="C31" s="59" t="n">
        <x:v>46028</x:v>
      </x:c>
      <x:c r="D31" s="2" t="str">
        <x:v>BILAN_VQ</x:v>
      </x:c>
      <x:c r="E31" s="2" t="str">
        <x:v>VQ_11_40469_EIDS_GLF_DEBORD_MUTATION</x:v>
      </x:c>
      <x:c r="F31" s="2" t="str">
        <x:v>Global</x:v>
      </x:c>
      <x:c r="G31" s="60" t="n">
        <x:v>34</x:v>
      </x:c>
      <x:c r="H31" s="60" t="n">
        <x:v>34</x:v>
      </x:c>
      <x:c r="I31" s="60" t="n">
        <x:v>21318</x:v>
      </x:c>
      <x:c r="J31" s="60" t="n">
        <x:v>34</x:v>
      </x:c>
      <x:c r="K31" s="60" t="n">
        <x:v>18088</x:v>
      </x:c>
      <x:c r="L31" s="60" t="n">
        <x:v>34</x:v>
      </x:c>
      <x:c r="M31" s="2"/>
      <x:c r="N31" s="2"/>
      <x:c r="O31" s="2"/>
      <x:c r="P31" s="2"/>
      <x:c r="Q31" s="2"/>
    </x:row>
    <x:row r="32">
      <x:c r="A32" s="2" t="str">
        <x:v>Jour</x:v>
      </x:c>
      <x:c r="B32" s="2" t="str">
        <x:v>2026-01-06</x:v>
      </x:c>
      <x:c r="C32" s="59" t="n">
        <x:v>46028</x:v>
      </x:c>
      <x:c r="D32" s="2" t="str">
        <x:v>BILAN_VQ</x:v>
      </x:c>
      <x:c r="E32" s="2" t="str">
        <x:v>VQ_11_40469_EIDS_GLF_DEBORD_POLEVIE</x:v>
      </x:c>
      <x:c r="F32" s="2" t="str">
        <x:v>Global</x:v>
      </x:c>
      <x:c r="G32" s="60" t="n">
        <x:v>15</x:v>
      </x:c>
      <x:c r="H32" s="60" t="n">
        <x:v>15</x:v>
      </x:c>
      <x:c r="I32" s="60" t="n">
        <x:v>9285</x:v>
      </x:c>
      <x:c r="J32" s="60" t="n">
        <x:v>15</x:v>
      </x:c>
      <x:c r="K32" s="60" t="n">
        <x:v>7215</x:v>
      </x:c>
      <x:c r="L32" s="60" t="n">
        <x:v>15</x:v>
      </x:c>
      <x:c r="M32" s="2"/>
      <x:c r="N32" s="2"/>
      <x:c r="O32" s="2"/>
      <x:c r="P32" s="2"/>
      <x:c r="Q32" s="2"/>
    </x:row>
    <x:row r="33">
      <x:c r="A33" s="2" t="str">
        <x:v>Jour</x:v>
      </x:c>
      <x:c r="B33" s="2" t="str">
        <x:v>2026-01-06</x:v>
      </x:c>
      <x:c r="C33" s="59" t="n">
        <x:v>46028</x:v>
      </x:c>
      <x:c r="D33" s="2" t="str">
        <x:v>BILAN_VQ</x:v>
      </x:c>
      <x:c r="E33" s="2" t="str">
        <x:v>VQ_11_40469_EIDS_GLF_MODIF_CLI</x:v>
      </x:c>
      <x:c r="F33" s="2" t="str">
        <x:v>Global</x:v>
      </x:c>
      <x:c r="G33" s="60" t="n">
        <x:v>29</x:v>
      </x:c>
      <x:c r="H33" s="60" t="n">
        <x:v>29</x:v>
      </x:c>
      <x:c r="I33" s="60" t="n">
        <x:v>14210</x:v>
      </x:c>
      <x:c r="J33" s="60" t="n">
        <x:v>29</x:v>
      </x:c>
      <x:c r="K33" s="60" t="n">
        <x:v>11600</x:v>
      </x:c>
      <x:c r="L33" s="60" t="n">
        <x:v>29</x:v>
      </x:c>
      <x:c r="M33" s="2"/>
      <x:c r="N33" s="2"/>
      <x:c r="O33" s="2"/>
      <x:c r="P33" s="2"/>
      <x:c r="Q33" s="2"/>
    </x:row>
    <x:row r="34">
      <x:c r="A34" s="2" t="str">
        <x:v>Jour</x:v>
      </x:c>
      <x:c r="B34" s="2" t="str">
        <x:v>2026-01-07</x:v>
      </x:c>
      <x:c r="C34" s="59" t="n">
        <x:v>46029</x:v>
      </x:c>
      <x:c r="D34" s="2" t="str">
        <x:v>BILAN_VQ</x:v>
      </x:c>
      <x:c r="E34" s="2" t="str">
        <x:v>VQ_11_40469_EIDS_GLF_DEBORD_MUTATION</x:v>
      </x:c>
      <x:c r="F34" s="2" t="str">
        <x:v>Global</x:v>
      </x:c>
      <x:c r="G34" s="60" t="n">
        <x:v>33</x:v>
      </x:c>
      <x:c r="H34" s="60" t="n">
        <x:v>33</x:v>
      </x:c>
      <x:c r="I34" s="60" t="n">
        <x:v>21681</x:v>
      </x:c>
      <x:c r="J34" s="60" t="n">
        <x:v>33</x:v>
      </x:c>
      <x:c r="K34" s="60" t="n">
        <x:v>15411</x:v>
      </x:c>
      <x:c r="L34" s="60" t="n">
        <x:v>33</x:v>
      </x:c>
      <x:c r="M34" s="2"/>
      <x:c r="N34" s="2"/>
      <x:c r="O34" s="2"/>
      <x:c r="P34" s="2"/>
      <x:c r="Q34" s="2"/>
    </x:row>
    <x:row r="35">
      <x:c r="A35" s="2" t="str">
        <x:v>Jour</x:v>
      </x:c>
      <x:c r="B35" s="2" t="str">
        <x:v>2026-01-07</x:v>
      </x:c>
      <x:c r="C35" s="59" t="n">
        <x:v>46029</x:v>
      </x:c>
      <x:c r="D35" s="2" t="str">
        <x:v>BILAN_VQ</x:v>
      </x:c>
      <x:c r="E35" s="2" t="str">
        <x:v>VQ_11_40469_EIDS_GLF_DEBORD_POLEVIE</x:v>
      </x:c>
      <x:c r="F35" s="2" t="str">
        <x:v>Global</x:v>
      </x:c>
      <x:c r="G35" s="60" t="n">
        <x:v>22</x:v>
      </x:c>
      <x:c r="H35" s="60" t="n">
        <x:v>22</x:v>
      </x:c>
      <x:c r="I35" s="60" t="n">
        <x:v>12782</x:v>
      </x:c>
      <x:c r="J35" s="60" t="n">
        <x:v>22</x:v>
      </x:c>
      <x:c r="K35" s="60" t="n">
        <x:v>10208</x:v>
      </x:c>
      <x:c r="L35" s="60" t="n">
        <x:v>22</x:v>
      </x:c>
      <x:c r="M35" s="2"/>
      <x:c r="N35" s="2"/>
      <x:c r="O35" s="2"/>
      <x:c r="P35" s="2"/>
      <x:c r="Q35" s="2"/>
    </x:row>
    <x:row r="36">
      <x:c r="A36" s="2" t="str">
        <x:v>Jour</x:v>
      </x:c>
      <x:c r="B36" s="2" t="str">
        <x:v>2026-01-07</x:v>
      </x:c>
      <x:c r="C36" s="59" t="n">
        <x:v>46029</x:v>
      </x:c>
      <x:c r="D36" s="2" t="str">
        <x:v>BILAN_VQ</x:v>
      </x:c>
      <x:c r="E36" s="2" t="str">
        <x:v>VQ_11_40469_EIDS_GLF_MODIF_CLI</x:v>
      </x:c>
      <x:c r="F36" s="2" t="str">
        <x:v>Global</x:v>
      </x:c>
      <x:c r="G36" s="60" t="n">
        <x:v>18</x:v>
      </x:c>
      <x:c r="H36" s="60" t="n">
        <x:v>18</x:v>
      </x:c>
      <x:c r="I36" s="60" t="n">
        <x:v>9036</x:v>
      </x:c>
      <x:c r="J36" s="60" t="n">
        <x:v>18</x:v>
      </x:c>
      <x:c r="K36" s="60" t="n">
        <x:v>6642</x:v>
      </x:c>
      <x:c r="L36" s="60" t="n">
        <x:v>18</x:v>
      </x:c>
      <x:c r="M36" s="2"/>
      <x:c r="N36" s="2"/>
      <x:c r="O36" s="2"/>
      <x:c r="P36" s="2"/>
      <x:c r="Q36" s="2"/>
    </x:row>
    <x:row r="37">
      <x:c r="A37" s="2" t="str">
        <x:v>Mois</x:v>
      </x:c>
      <x:c r="B37" s="2" t="str">
        <x:v>2026-08</x:v>
      </x:c>
      <x:c r="C37" s="59" t="n">
        <x:v>46235</x:v>
      </x:c>
      <x:c r="D37" s="2" t="str">
        <x:v>GENESYS_TRANCHE</x:v>
      </x:c>
      <x:c r="E37" s="2" t="str">
        <x:v>EIDS_GLF_DEBORDEMENT</x:v>
      </x:c>
      <x:c r="F37" s="2" t="str">
        <x:v>Matin</x:v>
      </x:c>
      <x:c r="G37" s="60" t="n">
        <x:v>17</x:v>
      </x:c>
      <x:c r="H37" s="60" t="n">
        <x:v>17</x:v>
      </x:c>
      <x:c r="I37" s="60" t="n">
        <x:v>10285</x:v>
      </x:c>
      <x:c r="J37" s="60" t="n">
        <x:v>17</x:v>
      </x:c>
      <x:c r="K37" s="60" t="n">
        <x:v>8282</x:v>
      </x:c>
      <x:c r="L37" s="60" t="n">
        <x:v>17</x:v>
      </x:c>
      <x:c r="M37" s="2"/>
      <x:c r="N37" s="2"/>
      <x:c r="O37" s="2"/>
      <x:c r="P37" s="2"/>
      <x:c r="Q37" s="2"/>
    </x:row>
    <x:row r="38">
      <x:c r="A38" s="2" t="str">
        <x:v>Mois</x:v>
      </x:c>
      <x:c r="B38" s="2" t="str">
        <x:v>2026-08</x:v>
      </x:c>
      <x:c r="C38" s="59" t="n">
        <x:v>46235</x:v>
      </x:c>
      <x:c r="D38" s="2" t="str">
        <x:v>GENESYS_TRANCHE</x:v>
      </x:c>
      <x:c r="E38" s="2" t="str">
        <x:v>EIDS_GLF_MODIF_CLI</x:v>
      </x:c>
      <x:c r="F38" s="2" t="str">
        <x:v>Après-midi</x:v>
      </x:c>
      <x:c r="G38" s="60" t="n">
        <x:v>21</x:v>
      </x:c>
      <x:c r="H38" s="60" t="n">
        <x:v>21</x:v>
      </x:c>
      <x:c r="I38" s="60" t="n">
        <x:v>11006</x:v>
      </x:c>
      <x:c r="J38" s="60" t="n">
        <x:v>21</x:v>
      </x:c>
      <x:c r="K38" s="60" t="n">
        <x:v>8792</x:v>
      </x:c>
      <x:c r="L38" s="60" t="n">
        <x:v>21</x:v>
      </x:c>
      <x:c r="M38" s="2"/>
      <x:c r="N38" s="2"/>
      <x:c r="O38" s="2"/>
      <x:c r="P38" s="2"/>
      <x:c r="Q38" s="2"/>
    </x:row>
    <x:row r="39">
      <x:c r="A39" s="2" t="str">
        <x:v>Mois</x:v>
      </x:c>
      <x:c r="B39" s="2" t="str">
        <x:v>2026-08</x:v>
      </x:c>
      <x:c r="C39" s="59" t="n">
        <x:v>46235</x:v>
      </x:c>
      <x:c r="D39" s="2" t="str">
        <x:v>GENESYS_TRANCHE</x:v>
      </x:c>
      <x:c r="E39" s="2" t="str">
        <x:v>EIDS_GLF_MODIF_CLI</x:v>
      </x:c>
      <x:c r="F39" s="2" t="str">
        <x:v>Matin</x:v>
      </x:c>
      <x:c r="G39" s="60" t="n">
        <x:v>25</x:v>
      </x:c>
      <x:c r="H39" s="60" t="n">
        <x:v>25</x:v>
      </x:c>
      <x:c r="I39" s="60" t="n">
        <x:v>15030</x:v>
      </x:c>
      <x:c r="J39" s="60" t="n">
        <x:v>25</x:v>
      </x:c>
      <x:c r="K39" s="60" t="n">
        <x:v>12511</x:v>
      </x:c>
      <x:c r="L39" s="60" t="n">
        <x:v>25</x:v>
      </x:c>
      <x:c r="M39" s="2"/>
      <x:c r="N39" s="2"/>
      <x:c r="O39" s="2"/>
      <x:c r="P39" s="2"/>
      <x:c r="Q39" s="2"/>
    </x:row>
    <x:row r="40">
      <x:c r="A40" s="2" t="str">
        <x:v>Mois</x:v>
      </x:c>
      <x:c r="B40" s="2" t="str">
        <x:v>2026-08</x:v>
      </x:c>
      <x:c r="C40" s="59" t="n">
        <x:v>46235</x:v>
      </x:c>
      <x:c r="D40" s="2" t="str">
        <x:v>GENESYS_TRANCHE</x:v>
      </x:c>
      <x:c r="E40" s="2" t="str">
        <x:v>EIDS_GLF_REBOND</x:v>
      </x:c>
      <x:c r="F40" s="2" t="str">
        <x:v>Après-midi</x:v>
      </x:c>
      <x:c r="G40" s="60" t="n">
        <x:v>25</x:v>
      </x:c>
      <x:c r="H40" s="60" t="n">
        <x:v>25</x:v>
      </x:c>
      <x:c r="I40" s="60" t="n">
        <x:v>22064</x:v>
      </x:c>
      <x:c r="J40" s="60" t="n">
        <x:v>25</x:v>
      </x:c>
      <x:c r="K40" s="60" t="n">
        <x:v>17056</x:v>
      </x:c>
      <x:c r="L40" s="60" t="n">
        <x:v>25</x:v>
      </x:c>
      <x:c r="M40" s="2"/>
      <x:c r="N40" s="2"/>
      <x:c r="O40" s="2"/>
      <x:c r="P40" s="2"/>
      <x:c r="Q40" s="2"/>
    </x:row>
    <x:row r="41">
      <x:c r="A41" s="2" t="str">
        <x:v>Semaine</x:v>
      </x:c>
      <x:c r="B41" s="2" t="str">
        <x:v>2026-S35</x:v>
      </x:c>
      <x:c r="C41" s="59" t="n">
        <x:v>46258</x:v>
      </x:c>
      <x:c r="D41" s="2" t="str">
        <x:v>GENESYS_TRANCHE</x:v>
      </x:c>
      <x:c r="E41" s="2" t="str">
        <x:v>EIDS_GLF_DEBORDEMENT</x:v>
      </x:c>
      <x:c r="F41" s="2" t="str">
        <x:v>Matin</x:v>
      </x:c>
      <x:c r="G41" s="60" t="n">
        <x:v>17</x:v>
      </x:c>
      <x:c r="H41" s="60" t="n">
        <x:v>17</x:v>
      </x:c>
      <x:c r="I41" s="60" t="n">
        <x:v>10285</x:v>
      </x:c>
      <x:c r="J41" s="60" t="n">
        <x:v>17</x:v>
      </x:c>
      <x:c r="K41" s="60" t="n">
        <x:v>8282</x:v>
      </x:c>
      <x:c r="L41" s="60" t="n">
        <x:v>17</x:v>
      </x:c>
      <x:c r="M41" s="2"/>
      <x:c r="N41" s="2"/>
      <x:c r="O41" s="2"/>
      <x:c r="P41" s="2"/>
      <x:c r="Q41" s="2"/>
    </x:row>
    <x:row r="42">
      <x:c r="A42" s="2" t="str">
        <x:v>Semaine</x:v>
      </x:c>
      <x:c r="B42" s="2" t="str">
        <x:v>2026-S35</x:v>
      </x:c>
      <x:c r="C42" s="59" t="n">
        <x:v>46258</x:v>
      </x:c>
      <x:c r="D42" s="2" t="str">
        <x:v>GENESYS_TRANCHE</x:v>
      </x:c>
      <x:c r="E42" s="2" t="str">
        <x:v>EIDS_GLF_MODIF_CLI</x:v>
      </x:c>
      <x:c r="F42" s="2" t="str">
        <x:v>Après-midi</x:v>
      </x:c>
      <x:c r="G42" s="60" t="n">
        <x:v>21</x:v>
      </x:c>
      <x:c r="H42" s="60" t="n">
        <x:v>21</x:v>
      </x:c>
      <x:c r="I42" s="60" t="n">
        <x:v>11006</x:v>
      </x:c>
      <x:c r="J42" s="60" t="n">
        <x:v>21</x:v>
      </x:c>
      <x:c r="K42" s="60" t="n">
        <x:v>8792</x:v>
      </x:c>
      <x:c r="L42" s="60" t="n">
        <x:v>21</x:v>
      </x:c>
      <x:c r="M42" s="2"/>
      <x:c r="N42" s="2"/>
      <x:c r="O42" s="2"/>
      <x:c r="P42" s="2"/>
      <x:c r="Q42" s="2"/>
    </x:row>
    <x:row r="43">
      <x:c r="A43" s="2" t="str">
        <x:v>Semaine</x:v>
      </x:c>
      <x:c r="B43" s="2" t="str">
        <x:v>2026-S35</x:v>
      </x:c>
      <x:c r="C43" s="59" t="n">
        <x:v>46258</x:v>
      </x:c>
      <x:c r="D43" s="2" t="str">
        <x:v>GENESYS_TRANCHE</x:v>
      </x:c>
      <x:c r="E43" s="2" t="str">
        <x:v>EIDS_GLF_MODIF_CLI</x:v>
      </x:c>
      <x:c r="F43" s="2" t="str">
        <x:v>Matin</x:v>
      </x:c>
      <x:c r="G43" s="60" t="n">
        <x:v>25</x:v>
      </x:c>
      <x:c r="H43" s="60" t="n">
        <x:v>25</x:v>
      </x:c>
      <x:c r="I43" s="60" t="n">
        <x:v>15030</x:v>
      </x:c>
      <x:c r="J43" s="60" t="n">
        <x:v>25</x:v>
      </x:c>
      <x:c r="K43" s="60" t="n">
        <x:v>12511</x:v>
      </x:c>
      <x:c r="L43" s="60" t="n">
        <x:v>25</x:v>
      </x:c>
      <x:c r="M43" s="2"/>
      <x:c r="N43" s="2"/>
      <x:c r="O43" s="2"/>
      <x:c r="P43" s="2"/>
      <x:c r="Q43" s="2"/>
    </x:row>
    <x:row r="44">
      <x:c r="A44" s="2" t="str">
        <x:v>Semaine</x:v>
      </x:c>
      <x:c r="B44" s="2" t="str">
        <x:v>2026-S35</x:v>
      </x:c>
      <x:c r="C44" s="59" t="n">
        <x:v>46258</x:v>
      </x:c>
      <x:c r="D44" s="2" t="str">
        <x:v>GENESYS_TRANCHE</x:v>
      </x:c>
      <x:c r="E44" s="2" t="str">
        <x:v>EIDS_GLF_REBOND</x:v>
      </x:c>
      <x:c r="F44" s="2" t="str">
        <x:v>Après-midi</x:v>
      </x:c>
      <x:c r="G44" s="60" t="n">
        <x:v>25</x:v>
      </x:c>
      <x:c r="H44" s="60" t="n">
        <x:v>25</x:v>
      </x:c>
      <x:c r="I44" s="60" t="n">
        <x:v>22064</x:v>
      </x:c>
      <x:c r="J44" s="60" t="n">
        <x:v>25</x:v>
      </x:c>
      <x:c r="K44" s="60" t="n">
        <x:v>17056</x:v>
      </x:c>
      <x:c r="L44" s="60" t="n">
        <x:v>25</x:v>
      </x:c>
      <x:c r="M44" s="2"/>
      <x:c r="N44" s="2"/>
      <x:c r="O44" s="2"/>
      <x:c r="P44" s="2"/>
      <x:c r="Q44" s="2"/>
    </x:row>
    <x:row r="45">
      <x:c r="A45" s="2" t="str">
        <x:v>Jour</x:v>
      </x:c>
      <x:c r="B45" s="2" t="str">
        <x:v>2026-08-26</x:v>
      </x:c>
      <x:c r="C45" s="59" t="n">
        <x:v>46260</x:v>
      </x:c>
      <x:c r="D45" s="2" t="str">
        <x:v>GENESYS_TRANCHE</x:v>
      </x:c>
      <x:c r="E45" s="2" t="str">
        <x:v>EIDS_GLF_DEBORDEMENT</x:v>
      </x:c>
      <x:c r="F45" s="2" t="str">
        <x:v>Matin</x:v>
      </x:c>
      <x:c r="G45" s="60" t="n">
        <x:v>17</x:v>
      </x:c>
      <x:c r="H45" s="60" t="n">
        <x:v>17</x:v>
      </x:c>
      <x:c r="I45" s="60" t="n">
        <x:v>10285</x:v>
      </x:c>
      <x:c r="J45" s="60" t="n">
        <x:v>17</x:v>
      </x:c>
      <x:c r="K45" s="60" t="n">
        <x:v>8282</x:v>
      </x:c>
      <x:c r="L45" s="60" t="n">
        <x:v>17</x:v>
      </x:c>
      <x:c r="M45" s="2"/>
      <x:c r="N45" s="2"/>
      <x:c r="O45" s="2"/>
      <x:c r="P45" s="2"/>
      <x:c r="Q45" s="2"/>
    </x:row>
    <x:row r="46">
      <x:c r="A46" s="2" t="str">
        <x:v>Jour</x:v>
      </x:c>
      <x:c r="B46" s="2" t="str">
        <x:v>2026-08-26</x:v>
      </x:c>
      <x:c r="C46" s="59" t="n">
        <x:v>46260</x:v>
      </x:c>
      <x:c r="D46" s="2" t="str">
        <x:v>GENESYS_TRANCHE</x:v>
      </x:c>
      <x:c r="E46" s="2" t="str">
        <x:v>EIDS_GLF_MODIF_CLI</x:v>
      </x:c>
      <x:c r="F46" s="2" t="str">
        <x:v>Après-midi</x:v>
      </x:c>
      <x:c r="G46" s="60" t="n">
        <x:v>21</x:v>
      </x:c>
      <x:c r="H46" s="60" t="n">
        <x:v>21</x:v>
      </x:c>
      <x:c r="I46" s="60" t="n">
        <x:v>11006</x:v>
      </x:c>
      <x:c r="J46" s="60" t="n">
        <x:v>21</x:v>
      </x:c>
      <x:c r="K46" s="60" t="n">
        <x:v>8792</x:v>
      </x:c>
      <x:c r="L46" s="60" t="n">
        <x:v>21</x:v>
      </x:c>
      <x:c r="M46" s="2"/>
      <x:c r="N46" s="2"/>
      <x:c r="O46" s="2"/>
      <x:c r="P46" s="2"/>
      <x:c r="Q46" s="2"/>
    </x:row>
    <x:row r="47">
      <x:c r="A47" s="2" t="str">
        <x:v>Jour</x:v>
      </x:c>
      <x:c r="B47" s="2" t="str">
        <x:v>2026-08-26</x:v>
      </x:c>
      <x:c r="C47" s="59" t="n">
        <x:v>46260</x:v>
      </x:c>
      <x:c r="D47" s="2" t="str">
        <x:v>GENESYS_TRANCHE</x:v>
      </x:c>
      <x:c r="E47" s="2" t="str">
        <x:v>EIDS_GLF_MODIF_CLI</x:v>
      </x:c>
      <x:c r="F47" s="2" t="str">
        <x:v>Matin</x:v>
      </x:c>
      <x:c r="G47" s="60" t="n">
        <x:v>25</x:v>
      </x:c>
      <x:c r="H47" s="60" t="n">
        <x:v>25</x:v>
      </x:c>
      <x:c r="I47" s="60" t="n">
        <x:v>15030</x:v>
      </x:c>
      <x:c r="J47" s="60" t="n">
        <x:v>25</x:v>
      </x:c>
      <x:c r="K47" s="60" t="n">
        <x:v>12511</x:v>
      </x:c>
      <x:c r="L47" s="60" t="n">
        <x:v>25</x:v>
      </x:c>
      <x:c r="M47" s="2"/>
      <x:c r="N47" s="2"/>
      <x:c r="O47" s="2"/>
      <x:c r="P47" s="2"/>
      <x:c r="Q47" s="2"/>
    </x:row>
    <x:row r="48">
      <x:c r="A48" s="2" t="str">
        <x:v>Jour</x:v>
      </x:c>
      <x:c r="B48" s="2" t="str">
        <x:v>2026-08-26</x:v>
      </x:c>
      <x:c r="C48" s="59" t="n">
        <x:v>46260</x:v>
      </x:c>
      <x:c r="D48" s="2" t="str">
        <x:v>GENESYS_TRANCHE</x:v>
      </x:c>
      <x:c r="E48" s="2" t="str">
        <x:v>EIDS_GLF_REBOND</x:v>
      </x:c>
      <x:c r="F48" s="2" t="str">
        <x:v>Après-midi</x:v>
      </x:c>
      <x:c r="G48" s="60" t="n">
        <x:v>25</x:v>
      </x:c>
      <x:c r="H48" s="60" t="n">
        <x:v>25</x:v>
      </x:c>
      <x:c r="I48" s="60" t="n">
        <x:v>22064</x:v>
      </x:c>
      <x:c r="J48" s="60" t="n">
        <x:v>25</x:v>
      </x:c>
      <x:c r="K48" s="60" t="n">
        <x:v>17056</x:v>
      </x:c>
      <x:c r="L48" s="60" t="n">
        <x:v>25</x:v>
      </x:c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  <x:tableParts count="1">
    <x:tablePart xmlns:r="http://schemas.openxmlformats.org/officeDocument/2006/relationships" r:id="Red08fd871662440e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4" customHeight="1">
      <x:c r="A1" s="14" t="str">
        <x:v>Jour</x:v>
      </x:c>
      <x:c r="B1" s="32" t="str">
        <x:v>Créneau horaire</x:v>
      </x:c>
      <x:c r="C1" s="32" t="str">
        <x:v>Activité</x:v>
      </x:c>
      <x:c r="D1" s="32" t="str">
        <x:v>Canal</x:v>
      </x:c>
      <x:c r="E1" s="32" t="str">
        <x:v>VQ</x:v>
      </x:c>
      <x:c r="F1" s="32" t="str">
        <x:v>Appels Reçus</x:v>
      </x:c>
      <x:c r="G1" s="32" t="str">
        <x:v>Appels Traités</x:v>
      </x:c>
      <x:c r="H1" s="32" t="str">
        <x:v>Appels abandonnés</x:v>
      </x:c>
      <x:c r="I1" s="32" t="str">
        <x:v>Appels dissuadés</x:v>
      </x:c>
      <x:c r="J1" s="32" t="str">
        <x:v>Efficacité (%)</x:v>
      </x:c>
      <x:c r="K1" s="32" t="str">
        <x:v>Qualité de service (%)</x:v>
      </x:c>
      <x:c r="L1" s="32" t="str">
        <x:v>Répondu en moins de 180 s.</x:v>
      </x:c>
      <x:c r="M1" s="32" t="str">
        <x:v>Répondu en moins de 90 sec. </x:v>
      </x:c>
      <x:c r="N1" s="32" t="str">
        <x:v>DMT</x:v>
      </x:c>
      <x:c r="O1" s="32" t="str">
        <x:v>DMC</x:v>
      </x:c>
      <x:c r="P1" s="32" t="str">
        <x:v>DMG</x:v>
      </x:c>
      <x:c r="Q1" s="32" t="str">
        <x:v>DMW</x:v>
      </x:c>
      <x:c r="R1" s="32" t="str">
        <x:v>TMA</x:v>
      </x:c>
      <x:c r="S1" s="15" t="str">
        <x:v>Répondu en moins de 20 s.</x:v>
      </x:c>
    </x:row>
    <x:row r="2">
      <x:c r="A2" s="2" t="n">
        <x:v>20260826</x:v>
      </x:c>
      <x:c r="B2" s="64" t="n">
        <x:v>0.40625</x:v>
      </x:c>
      <x:c r="C2" s="2" t="str">
        <x:v>GLF_MODIF_CLI</x:v>
      </x:c>
      <x:c r="D2" s="2" t="str">
        <x:v>ENT</x:v>
      </x:c>
      <x:c r="E2" s="2" t="str">
        <x:v>VQ_11_40469_EIDS_GLF_DEBORD_MUTATION</x:v>
      </x:c>
      <x:c r="F2" s="2" t="n">
        <x:v>2</x:v>
      </x:c>
      <x:c r="G2" s="2" t="n">
        <x:v>2</x:v>
      </x:c>
      <x:c r="H2" s="2" t="n">
        <x:v>0</x:v>
      </x:c>
      <x:c r="I2" s="2" t="n">
        <x:v>0</x:v>
      </x:c>
      <x:c r="J2" s="17" t="n">
        <x:v>1</x:v>
      </x:c>
      <x:c r="K2" s="17" t="n">
        <x:v>1</x:v>
      </x:c>
      <x:c r="L2" s="2" t="n">
        <x:v>2</x:v>
      </x:c>
      <x:c r="M2" s="2" t="n">
        <x:v>2</x:v>
      </x:c>
      <x:c r="N2" s="18" t="n">
        <x:v>0.009814814814814814</x:v>
      </x:c>
      <x:c r="O2" s="18" t="n">
        <x:v>0.009351851851851853</x:v>
      </x:c>
      <x:c r="P2" s="18" t="n">
        <x:v>0.0002546296296296296</x:v>
      </x:c>
      <x:c r="Q2" s="18" t="n">
        <x:v>0.00019675925925925926</x:v>
      </x:c>
      <x:c r="R2" t="n">
        <x:v>2</x:v>
      </x:c>
      <x:c r="S2" t="n">
        <x:v>2</x:v>
      </x:c>
    </x:row>
    <x:row r="3">
      <x:c r="A3" s="2" t="n">
        <x:v>20260826</x:v>
      </x:c>
      <x:c r="B3" s="64" t="n">
        <x:v>0.4166666666666667</x:v>
      </x:c>
      <x:c r="C3" s="2" t="str">
        <x:v>GLF_MODIF_CLI</x:v>
      </x:c>
      <x:c r="D3" s="2" t="str">
        <x:v>ENT</x:v>
      </x:c>
      <x:c r="E3" s="2" t="str">
        <x:v>VQ_11_40469_EIDS_GLF_MODIF_CLI</x:v>
      </x:c>
      <x:c r="F3" s="2" t="n">
        <x:v>2</x:v>
      </x:c>
      <x:c r="G3" s="2" t="n">
        <x:v>2</x:v>
      </x:c>
      <x:c r="H3" s="2" t="n">
        <x:v>0</x:v>
      </x:c>
      <x:c r="I3" s="2" t="n">
        <x:v>0</x:v>
      </x:c>
      <x:c r="J3" s="17" t="n">
        <x:v>1</x:v>
      </x:c>
      <x:c r="K3" s="17" t="n">
        <x:v>1</x:v>
      </x:c>
      <x:c r="L3" s="2" t="n">
        <x:v>2</x:v>
      </x:c>
      <x:c r="M3" s="2" t="n">
        <x:v>2</x:v>
      </x:c>
      <x:c r="N3" s="18" t="n">
        <x:v>0.003414351851851852</x:v>
      </x:c>
      <x:c r="O3" s="18" t="n">
        <x:v>0.0030902777777777777</x:v>
      </x:c>
      <x:c r="P3" s="18" t="n">
        <x:v>0</x:v>
      </x:c>
      <x:c r="Q3" s="18" t="n">
        <x:v>0.0003125</x:v>
      </x:c>
      <x:c r="R3" t="n">
        <x:v>1.5</x:v>
      </x:c>
      <x:c r="S3" t="n">
        <x:v>2</x:v>
      </x:c>
    </x:row>
    <x:row r="4">
      <x:c r="A4" s="2" t="n">
        <x:v>20260826</x:v>
      </x:c>
      <x:c r="B4" s="64" t="n">
        <x:v>0.4270833333333333</x:v>
      </x:c>
      <x:c r="C4" s="2" t="str">
        <x:v>GLF_MODIF_CLI</x:v>
      </x:c>
      <x:c r="D4" s="2" t="str">
        <x:v>ENT</x:v>
      </x:c>
      <x:c r="E4" s="2" t="str">
        <x:v>VQ_11_40469_EIDS_GLF_MODIF_CLI</x:v>
      </x:c>
      <x:c r="F4" s="2" t="n">
        <x:v>4</x:v>
      </x:c>
      <x:c r="G4" s="2" t="n">
        <x:v>4</x:v>
      </x:c>
      <x:c r="H4" s="2" t="n">
        <x:v>0</x:v>
      </x:c>
      <x:c r="I4" s="2" t="n">
        <x:v>0</x:v>
      </x:c>
      <x:c r="J4" s="17" t="n">
        <x:v>1</x:v>
      </x:c>
      <x:c r="K4" s="17" t="n">
        <x:v>1</x:v>
      </x:c>
      <x:c r="L4" s="2" t="n">
        <x:v>4</x:v>
      </x:c>
      <x:c r="M4" s="2" t="n">
        <x:v>4</x:v>
      </x:c>
      <x:c r="N4" s="18" t="n">
        <x:v>0.007314814814814815</x:v>
      </x:c>
      <x:c r="O4" s="18" t="n">
        <x:v>0.006076388888888889</x:v>
      </x:c>
      <x:c r="P4" s="18" t="n">
        <x:v>0.0010300925925925926</x:v>
      </x:c>
      <x:c r="Q4" s="18" t="n">
        <x:v>0.00019675925925925926</x:v>
      </x:c>
      <x:c r="R4" t="n">
        <x:v>2</x:v>
      </x:c>
      <x:c r="S4" t="n">
        <x:v>4</x:v>
      </x:c>
    </x:row>
    <x:row r="5">
      <x:c r="A5" s="2" t="n">
        <x:v>20260826</x:v>
      </x:c>
      <x:c r="B5" s="64" t="n">
        <x:v>0.4375</x:v>
      </x:c>
      <x:c r="C5" s="2" t="str">
        <x:v>GLF_MODIF_CLI</x:v>
      </x:c>
      <x:c r="D5" s="2" t="str">
        <x:v>ENT</x:v>
      </x:c>
      <x:c r="E5" s="2" t="str">
        <x:v>VQ_11_40469_EIDS_GLF_DEBORD_POLEVIE</x:v>
      </x:c>
      <x:c r="F5" s="2" t="n">
        <x:v>1</x:v>
      </x:c>
      <x:c r="G5" s="2" t="n">
        <x:v>1</x:v>
      </x:c>
      <x:c r="H5" s="2" t="n">
        <x:v>0</x:v>
      </x:c>
      <x:c r="I5" s="2" t="n">
        <x:v>0</x:v>
      </x:c>
      <x:c r="J5" s="17" t="n">
        <x:v>1</x:v>
      </x:c>
      <x:c r="K5" s="17" t="n">
        <x:v>1</x:v>
      </x:c>
      <x:c r="L5" s="2" t="n">
        <x:v>1</x:v>
      </x:c>
      <x:c r="M5" s="2" t="n">
        <x:v>1</x:v>
      </x:c>
      <x:c r="N5" s="18" t="n">
        <x:v>0.002476851851851852</x:v>
      </x:c>
      <x:c r="O5" s="18" t="n">
        <x:v>0.0021296296296296298</x:v>
      </x:c>
      <x:c r="P5" s="18" t="n">
        <x:v>0</x:v>
      </x:c>
      <x:c r="Q5" s="18" t="n">
        <x:v>0.00034722222222222224</x:v>
      </x:c>
      <x:c r="R5" t="n">
        <x:v>2</x:v>
      </x:c>
      <x:c r="S5" t="n">
        <x:v>1</x:v>
      </x:c>
    </x:row>
    <x:row r="6">
      <x:c r="A6" s="2" t="n">
        <x:v>20260826</x:v>
      </x:c>
      <x:c r="B6" s="64" t="n">
        <x:v>0.4375</x:v>
      </x:c>
      <x:c r="C6" s="2" t="str">
        <x:v>GLF_MODIF_CLI</x:v>
      </x:c>
      <x:c r="D6" s="2" t="str">
        <x:v>ENT</x:v>
      </x:c>
      <x:c r="E6" s="2" t="str">
        <x:v>VQ_11_40469_EIDS_GLF_MODIF_CLI</x:v>
      </x:c>
      <x:c r="F6" s="2" t="n">
        <x:v>3</x:v>
      </x:c>
      <x:c r="G6" s="2" t="n">
        <x:v>3</x:v>
      </x:c>
      <x:c r="H6" s="2" t="n">
        <x:v>0</x:v>
      </x:c>
      <x:c r="I6" s="2" t="n">
        <x:v>0</x:v>
      </x:c>
      <x:c r="J6" s="17" t="n">
        <x:v>1</x:v>
      </x:c>
      <x:c r="K6" s="17" t="n">
        <x:v>1</x:v>
      </x:c>
      <x:c r="L6" s="2" t="n">
        <x:v>3</x:v>
      </x:c>
      <x:c r="M6" s="2" t="n">
        <x:v>3</x:v>
      </x:c>
      <x:c r="N6" s="18" t="n">
        <x:v>0.004814814814814815</x:v>
      </x:c>
      <x:c r="O6" s="18" t="n">
        <x:v>0.004768518518518518</x:v>
      </x:c>
      <x:c r="P6" s="18" t="n">
        <x:v>0</x:v>
      </x:c>
      <x:c r="Q6" s="18" t="n">
        <x:v>0.00003472222222222222</x:v>
      </x:c>
      <x:c r="R6" t="n">
        <x:v>1.666666667</x:v>
      </x:c>
      <x:c r="S6" t="n">
        <x:v>3</x:v>
      </x:c>
    </x:row>
    <x:row r="7">
      <x:c r="A7" s="2" t="n">
        <x:v>20260826</x:v>
      </x:c>
      <x:c r="B7" s="64" t="n">
        <x:v>0.4479166666666667</x:v>
      </x:c>
      <x:c r="C7" s="2" t="str">
        <x:v>GLF_MODIF_CLI</x:v>
      </x:c>
      <x:c r="D7" s="2" t="str">
        <x:v>ENT</x:v>
      </x:c>
      <x:c r="E7" s="2" t="str">
        <x:v>VQ_11_40469_EIDS_GLF_DEBORD_MUTATION</x:v>
      </x:c>
      <x:c r="F7" s="2" t="n">
        <x:v>1</x:v>
      </x:c>
      <x:c r="G7" s="2" t="n">
        <x:v>1</x:v>
      </x:c>
      <x:c r="H7" s="2" t="n">
        <x:v>0</x:v>
      </x:c>
      <x:c r="I7" s="2" t="n">
        <x:v>0</x:v>
      </x:c>
      <x:c r="J7" s="17" t="n">
        <x:v>1</x:v>
      </x:c>
      <x:c r="K7" s="17" t="n">
        <x:v>1</x:v>
      </x:c>
      <x:c r="L7" s="2" t="n">
        <x:v>1</x:v>
      </x:c>
      <x:c r="M7" s="2" t="n">
        <x:v>1</x:v>
      </x:c>
      <x:c r="N7" s="18" t="n">
        <x:v>0.006643518518518518</x:v>
      </x:c>
      <x:c r="O7" s="18" t="n">
        <x:v>0.006296296296296296</x:v>
      </x:c>
      <x:c r="P7" s="18" t="n">
        <x:v>0</x:v>
      </x:c>
      <x:c r="Q7" s="18" t="n">
        <x:v>0.00034722222222222224</x:v>
      </x:c>
      <x:c r="R7" t="n">
        <x:v>2</x:v>
      </x:c>
      <x:c r="S7" t="n">
        <x:v>1</x:v>
      </x:c>
    </x:row>
    <x:row r="8">
      <x:c r="A8" s="2" t="n">
        <x:v>20260826</x:v>
      </x:c>
      <x:c r="B8" s="64" t="n">
        <x:v>0.4479166666666667</x:v>
      </x:c>
      <x:c r="C8" s="2" t="str">
        <x:v>GLF_MODIF_CLI</x:v>
      </x:c>
      <x:c r="D8" s="2" t="str">
        <x:v>ENT</x:v>
      </x:c>
      <x:c r="E8" s="2" t="str">
        <x:v>VQ_11_40469_EIDS_GLF_DEBORD_POLEVIE</x:v>
      </x:c>
      <x:c r="F8" s="2" t="n">
        <x:v>1</x:v>
      </x:c>
      <x:c r="G8" s="2" t="n">
        <x:v>1</x:v>
      </x:c>
      <x:c r="H8" s="2" t="n">
        <x:v>0</x:v>
      </x:c>
      <x:c r="I8" s="2" t="n">
        <x:v>0</x:v>
      </x:c>
      <x:c r="J8" s="17" t="n">
        <x:v>1</x:v>
      </x:c>
      <x:c r="K8" s="17" t="n">
        <x:v>1</x:v>
      </x:c>
      <x:c r="L8" s="2" t="n">
        <x:v>1</x:v>
      </x:c>
      <x:c r="M8" s="2" t="n">
        <x:v>1</x:v>
      </x:c>
      <x:c r="N8" s="18" t="n">
        <x:v>0.006006944444444444</x:v>
      </x:c>
      <x:c r="O8" s="18" t="n">
        <x:v>0.00431712962962963</x:v>
      </x:c>
      <x:c r="P8" s="18" t="n">
        <x:v>0.0013425925925925925</x:v>
      </x:c>
      <x:c r="Q8" s="18" t="n">
        <x:v>0.00034722222222222224</x:v>
      </x:c>
      <x:c r="R8" t="n">
        <x:v>2</x:v>
      </x:c>
      <x:c r="S8" t="n">
        <x:v>1</x:v>
      </x:c>
    </x:row>
    <x:row r="9">
      <x:c r="A9" s="2" t="n">
        <x:v>20260826</x:v>
      </x:c>
      <x:c r="B9" s="64" t="n">
        <x:v>0.4479166666666667</x:v>
      </x:c>
      <x:c r="C9" s="2" t="str">
        <x:v>GLF_MODIF_CLI</x:v>
      </x:c>
      <x:c r="D9" s="2" t="str">
        <x:v>ENT</x:v>
      </x:c>
      <x:c r="E9" s="2" t="str">
        <x:v>VQ_11_40469_EIDS_GLF_MODIF_CLI</x:v>
      </x:c>
      <x:c r="F9" s="2" t="n">
        <x:v>5</x:v>
      </x:c>
      <x:c r="G9" s="2" t="n">
        <x:v>5</x:v>
      </x:c>
      <x:c r="H9" s="2" t="n">
        <x:v>0</x:v>
      </x:c>
      <x:c r="I9" s="2" t="n">
        <x:v>0</x:v>
      </x:c>
      <x:c r="J9" s="17" t="n">
        <x:v>1</x:v>
      </x:c>
      <x:c r="K9" s="17" t="n">
        <x:v>1</x:v>
      </x:c>
      <x:c r="L9" s="2" t="n">
        <x:v>5</x:v>
      </x:c>
      <x:c r="M9" s="2" t="n">
        <x:v>5</x:v>
      </x:c>
      <x:c r="N9" s="18" t="n">
        <x:v>0.00730324074074074</x:v>
      </x:c>
      <x:c r="O9" s="18" t="n">
        <x:v>0.005532407407407408</x:v>
      </x:c>
      <x:c r="P9" s="18" t="n">
        <x:v>0.0015625</x:v>
      </x:c>
      <x:c r="Q9" s="18" t="n">
        <x:v>0.00019675925925925926</x:v>
      </x:c>
      <x:c r="R9" t="n">
        <x:v>2</x:v>
      </x:c>
      <x:c r="S9" t="n">
        <x:v>5</x:v>
      </x:c>
    </x:row>
    <x:row r="10">
      <x:c r="A10" s="2" t="n">
        <x:v>20260826</x:v>
      </x:c>
      <x:c r="B10" s="64" t="n">
        <x:v>0.4583333333333333</x:v>
      </x:c>
      <x:c r="C10" s="2" t="str">
        <x:v>GLF_MODIF_CLI</x:v>
      </x:c>
      <x:c r="D10" s="2" t="str">
        <x:v>ENT</x:v>
      </x:c>
      <x:c r="E10" s="2" t="str">
        <x:v>VQ_11_40469_EIDS_GLF_MODIF_CLI</x:v>
      </x:c>
      <x:c r="F10" s="2" t="n">
        <x:v>2</x:v>
      </x:c>
      <x:c r="G10" s="2" t="n">
        <x:v>2</x:v>
      </x:c>
      <x:c r="H10" s="2" t="n">
        <x:v>0</x:v>
      </x:c>
      <x:c r="I10" s="2" t="n">
        <x:v>0</x:v>
      </x:c>
      <x:c r="J10" s="17" t="n">
        <x:v>1</x:v>
      </x:c>
      <x:c r="K10" s="17" t="n">
        <x:v>1</x:v>
      </x:c>
      <x:c r="L10" s="2" t="n">
        <x:v>2</x:v>
      </x:c>
      <x:c r="M10" s="2" t="n">
        <x:v>2</x:v>
      </x:c>
      <x:c r="N10" s="18" t="n">
        <x:v>0.010810185185185185</x:v>
      </x:c>
      <x:c r="O10" s="18" t="n">
        <x:v>0.008761574074074074</x:v>
      </x:c>
      <x:c r="P10" s="18" t="n">
        <x:v>0.001851851851851852</x:v>
      </x:c>
      <x:c r="Q10" s="18" t="n">
        <x:v>0.00019675925925925926</x:v>
      </x:c>
      <x:c r="R10" t="n">
        <x:v>1.5</x:v>
      </x:c>
      <x:c r="S10" t="n">
        <x:v>2</x:v>
      </x:c>
    </x:row>
    <x:row r="11">
      <x:c r="A11" s="2" t="n">
        <x:v>20260826</x:v>
      </x:c>
      <x:c r="B11" s="64" t="n">
        <x:v>0.46875</x:v>
      </x:c>
      <x:c r="C11" s="2" t="str">
        <x:v>GLF_MODIF_CLI</x:v>
      </x:c>
      <x:c r="D11" s="2" t="str">
        <x:v>ENT</x:v>
      </x:c>
      <x:c r="E11" s="2" t="str">
        <x:v>VQ_11_40469_EIDS_GLF_DEBORD_MUTATION</x:v>
      </x:c>
      <x:c r="F11" s="2" t="n">
        <x:v>3</x:v>
      </x:c>
      <x:c r="G11" s="2" t="n">
        <x:v>3</x:v>
      </x:c>
      <x:c r="H11" s="2" t="n">
        <x:v>0</x:v>
      </x:c>
      <x:c r="I11" s="2" t="n">
        <x:v>0</x:v>
      </x:c>
      <x:c r="J11" s="17" t="n">
        <x:v>1</x:v>
      </x:c>
      <x:c r="K11" s="17" t="n">
        <x:v>1</x:v>
      </x:c>
      <x:c r="L11" s="2" t="n">
        <x:v>3</x:v>
      </x:c>
      <x:c r="M11" s="2" t="n">
        <x:v>3</x:v>
      </x:c>
      <x:c r="N11" s="18" t="n">
        <x:v>0.007222222222222222</x:v>
      </x:c>
      <x:c r="O11" s="18" t="n">
        <x:v>0.006423611111111111</x:v>
      </x:c>
      <x:c r="P11" s="18" t="n">
        <x:v>0.0007638888888888889</x:v>
      </x:c>
      <x:c r="Q11" s="18" t="n">
        <x:v>0.00003472222222222222</x:v>
      </x:c>
      <x:c r="R11" t="n">
        <x:v>1.333333333</x:v>
      </x:c>
      <x:c r="S11" t="n">
        <x:v>3</x:v>
      </x:c>
    </x:row>
    <x:row r="12">
      <x:c r="A12" s="2" t="n">
        <x:v>20260826</x:v>
      </x:c>
      <x:c r="B12" s="64" t="n">
        <x:v>0.46875</x:v>
      </x:c>
      <x:c r="C12" s="2" t="str">
        <x:v>GLF_MODIF_CLI</x:v>
      </x:c>
      <x:c r="D12" s="2" t="str">
        <x:v>ENT</x:v>
      </x:c>
      <x:c r="E12" s="2" t="str">
        <x:v>VQ_11_40469_EIDS_GLF_MODIF_CLI</x:v>
      </x:c>
      <x:c r="F12" s="2" t="n">
        <x:v>2</x:v>
      </x:c>
      <x:c r="G12" s="2" t="n">
        <x:v>2</x:v>
      </x:c>
      <x:c r="H12" s="2" t="n">
        <x:v>0</x:v>
      </x:c>
      <x:c r="I12" s="2" t="n">
        <x:v>0</x:v>
      </x:c>
      <x:c r="J12" s="17" t="n">
        <x:v>1</x:v>
      </x:c>
      <x:c r="K12" s="17" t="n">
        <x:v>0.5</x:v>
      </x:c>
      <x:c r="L12" s="2" t="n">
        <x:v>1</x:v>
      </x:c>
      <x:c r="M12" s="2" t="n">
        <x:v>1</x:v>
      </x:c>
      <x:c r="N12" s="18" t="n">
        <x:v>0.0044444444444444444</x:v>
      </x:c>
      <x:c r="O12" s="18" t="n">
        <x:v>0.0042361111111111115</x:v>
      </x:c>
      <x:c r="P12" s="18" t="n">
        <x:v>0</x:v>
      </x:c>
      <x:c r="Q12" s="18" t="n">
        <x:v>0.00020833333333333335</x:v>
      </x:c>
      <x:c r="R12" t="n">
        <x:v>114</x:v>
      </x:c>
      <x:c r="S12" t="n">
        <x:v>1</x:v>
      </x:c>
    </x:row>
    <x:row r="13">
      <x:c r="A13" s="2" t="n">
        <x:v>20260826</x:v>
      </x:c>
      <x:c r="B13" s="64" t="n">
        <x:v>0.4791666666666667</x:v>
      </x:c>
      <x:c r="C13" s="2" t="str">
        <x:v>GLF_MODIF_CLI</x:v>
      </x:c>
      <x:c r="D13" s="2" t="str">
        <x:v>ENT</x:v>
      </x:c>
      <x:c r="E13" s="2" t="str">
        <x:v>VQ_11_40469_EIDS_GLF_DEBORD_MUTATION</x:v>
      </x:c>
      <x:c r="F13" s="2" t="n">
        <x:v>1</x:v>
      </x:c>
      <x:c r="G13" s="2" t="n">
        <x:v>1</x:v>
      </x:c>
      <x:c r="H13" s="2" t="n">
        <x:v>0</x:v>
      </x:c>
      <x:c r="I13" s="2" t="n">
        <x:v>0</x:v>
      </x:c>
      <x:c r="J13" s="17" t="n">
        <x:v>1</x:v>
      </x:c>
      <x:c r="K13" s="17" t="n">
        <x:v>0</x:v>
      </x:c>
      <x:c r="L13" s="2" t="n">
        <x:v>1</x:v>
      </x:c>
      <x:c r="M13" s="2" t="n">
        <x:v>0</x:v>
      </x:c>
      <x:c r="N13" s="18" t="n">
        <x:v>0.008912037037037038</x:v>
      </x:c>
      <x:c r="O13" s="18" t="n">
        <x:v>0.006655092592592593</x:v>
      </x:c>
      <x:c r="P13" s="18" t="n">
        <x:v>0.0019328703703703704</x:v>
      </x:c>
      <x:c r="Q13" s="18" t="n">
        <x:v>0.00032407407407407406</x:v>
      </x:c>
      <x:c r="R13" t="n">
        <x:v>119</x:v>
      </x:c>
      <x:c r="S13" t="n">
        <x:v>0</x:v>
      </x:c>
    </x:row>
    <x:row r="14">
      <x:c r="A14" s="2" t="n">
        <x:v>20260826</x:v>
      </x:c>
      <x:c r="B14" s="64" t="n">
        <x:v>0.4791666666666667</x:v>
      </x:c>
      <x:c r="C14" s="2" t="str">
        <x:v>GLF_MODIF_CLI</x:v>
      </x:c>
      <x:c r="D14" s="2" t="str">
        <x:v>ENT</x:v>
      </x:c>
      <x:c r="E14" s="2" t="str">
        <x:v>VQ_11_40469_EIDS_GLF_DEBORD_POLEVIE</x:v>
      </x:c>
      <x:c r="F14" s="2" t="n">
        <x:v>1</x:v>
      </x:c>
      <x:c r="G14" s="2" t="n">
        <x:v>1</x:v>
      </x:c>
      <x:c r="H14" s="2" t="n">
        <x:v>0</x:v>
      </x:c>
      <x:c r="I14" s="2" t="n">
        <x:v>0</x:v>
      </x:c>
      <x:c r="J14" s="17" t="n">
        <x:v>1</x:v>
      </x:c>
      <x:c r="K14" s="17" t="n">
        <x:v>1</x:v>
      </x:c>
      <x:c r="L14" s="2" t="n">
        <x:v>1</x:v>
      </x:c>
      <x:c r="M14" s="2" t="n">
        <x:v>1</x:v>
      </x:c>
      <x:c r="N14" s="18" t="n">
        <x:v>0.004976851851851852</x:v>
      </x:c>
      <x:c r="O14" s="18" t="n">
        <x:v>0.0028587962962962963</x:v>
      </x:c>
      <x:c r="P14" s="18" t="n">
        <x:v>0.0019560185185185184</x:v>
      </x:c>
      <x:c r="Q14" s="18" t="n">
        <x:v>0.00016203703703703703</x:v>
      </x:c>
      <x:c r="R14" t="n">
        <x:v>1</x:v>
      </x:c>
      <x:c r="S14" t="n">
        <x:v>1</x:v>
      </x:c>
    </x:row>
    <x:row r="15">
      <x:c r="A15" s="2" t="n">
        <x:v>20260826</x:v>
      </x:c>
      <x:c r="B15" s="64" t="n">
        <x:v>0.4791666666666667</x:v>
      </x:c>
      <x:c r="C15" s="2" t="str">
        <x:v>GLF_MODIF_CLI</x:v>
      </x:c>
      <x:c r="D15" s="2" t="str">
        <x:v>ENT</x:v>
      </x:c>
      <x:c r="E15" s="2" t="str">
        <x:v>VQ_11_40469_EIDS_GLF_MODIF_CLI</x:v>
      </x:c>
      <x:c r="F15" s="2" t="n">
        <x:v>1</x:v>
      </x:c>
      <x:c r="G15" s="2" t="n">
        <x:v>1</x:v>
      </x:c>
      <x:c r="H15" s="2" t="n">
        <x:v>0</x:v>
      </x:c>
      <x:c r="I15" s="2" t="n">
        <x:v>0</x:v>
      </x:c>
      <x:c r="J15" s="17" t="n">
        <x:v>1</x:v>
      </x:c>
      <x:c r="K15" s="17" t="n">
        <x:v>1</x:v>
      </x:c>
      <x:c r="L15" s="2" t="n">
        <x:v>1</x:v>
      </x:c>
      <x:c r="M15" s="2" t="n">
        <x:v>1</x:v>
      </x:c>
      <x:c r="N15" s="18" t="n">
        <x:v>0.02300925925925926</x:v>
      </x:c>
      <x:c r="O15" s="18" t="n">
        <x:v>0.017673611111111112</x:v>
      </x:c>
      <x:c r="P15" s="18" t="n">
        <x:v>0.0052893518518518515</x:v>
      </x:c>
      <x:c r="Q15" s="18" t="n">
        <x:v>0.000046296296296296294</x:v>
      </x:c>
      <x:c r="R15" t="n">
        <x:v>1</x:v>
      </x:c>
      <x:c r="S15" t="n">
        <x:v>1</x:v>
      </x:c>
    </x:row>
    <x:row r="16">
      <x:c r="A16" s="2" t="n">
        <x:v>20260826</x:v>
      </x:c>
      <x:c r="B16" s="64" t="n">
        <x:v>0.4895833333333333</x:v>
      </x:c>
      <x:c r="C16" s="2" t="str">
        <x:v>GLF_MODIF_CLI</x:v>
      </x:c>
      <x:c r="D16" s="2" t="str">
        <x:v>ENT</x:v>
      </x:c>
      <x:c r="E16" s="2" t="str">
        <x:v>VQ_11_40469_EIDS_GLF_DEBORD_MUTATION</x:v>
      </x:c>
      <x:c r="F16" s="2" t="n">
        <x:v>1</x:v>
      </x:c>
      <x:c r="G16" s="2" t="n">
        <x:v>1</x:v>
      </x:c>
      <x:c r="H16" s="2" t="n">
        <x:v>0</x:v>
      </x:c>
      <x:c r="I16" s="2" t="n">
        <x:v>0</x:v>
      </x:c>
      <x:c r="J16" s="17" t="n">
        <x:v>1</x:v>
      </x:c>
      <x:c r="K16" s="17" t="n">
        <x:v>1</x:v>
      </x:c>
      <x:c r="L16" s="2" t="n">
        <x:v>1</x:v>
      </x:c>
      <x:c r="M16" s="2" t="n">
        <x:v>1</x:v>
      </x:c>
      <x:c r="N16" s="18" t="n">
        <x:v>0.00962962962962963</x:v>
      </x:c>
      <x:c r="O16" s="18" t="n">
        <x:v>0.0035416666666666665</x:v>
      </x:c>
      <x:c r="P16" s="18" t="n">
        <x:v>0.005740740740740741</x:v>
      </x:c>
      <x:c r="Q16" s="18" t="n">
        <x:v>0.00034722222222222224</x:v>
      </x:c>
      <x:c r="R16" t="n">
        <x:v>1</x:v>
      </x:c>
      <x:c r="S16" t="n">
        <x:v>1</x:v>
      </x:c>
    </x:row>
    <x:row r="17">
      <x:c r="A17" s="2" t="n">
        <x:v>20260826</x:v>
      </x:c>
      <x:c r="B17" s="64" t="n">
        <x:v>0.4895833333333333</x:v>
      </x:c>
      <x:c r="C17" s="2" t="str">
        <x:v>GLF_MODIF_CLI</x:v>
      </x:c>
      <x:c r="D17" s="2" t="str">
        <x:v>ENT</x:v>
      </x:c>
      <x:c r="E17" s="2" t="str">
        <x:v>VQ_11_40469_EIDS_GLF_DEBORD_POLEVIE</x:v>
      </x:c>
      <x:c r="F17" s="2" t="n">
        <x:v>3</x:v>
      </x:c>
      <x:c r="G17" s="2" t="n">
        <x:v>3</x:v>
      </x:c>
      <x:c r="H17" s="2" t="n">
        <x:v>0</x:v>
      </x:c>
      <x:c r="I17" s="2" t="n">
        <x:v>0</x:v>
      </x:c>
      <x:c r="J17" s="17" t="n">
        <x:v>1</x:v>
      </x:c>
      <x:c r="K17" s="17" t="n">
        <x:v>1</x:v>
      </x:c>
      <x:c r="L17" s="2" t="n">
        <x:v>3</x:v>
      </x:c>
      <x:c r="M17" s="2" t="n">
        <x:v>3</x:v>
      </x:c>
      <x:c r="N17" s="18" t="n">
        <x:v>0.005104166666666667</x:v>
      </x:c>
      <x:c r="O17" s="18" t="n">
        <x:v>0.0050578703703703706</x:v>
      </x:c>
      <x:c r="P17" s="18" t="n">
        <x:v>0</x:v>
      </x:c>
      <x:c r="Q17" s="18" t="n">
        <x:v>0.000046296296296296294</x:v>
      </x:c>
      <x:c r="R17" t="n">
        <x:v>2</x:v>
      </x:c>
      <x:c r="S17" t="n">
        <x:v>3</x:v>
      </x:c>
    </x:row>
    <x:row r="18">
      <x:c r="A18" s="2" t="n">
        <x:v>20260826</x:v>
      </x:c>
      <x:c r="B18" s="64" t="n">
        <x:v>0.4895833333333333</x:v>
      </x:c>
      <x:c r="C18" s="2" t="str">
        <x:v>GLF_MODIF_CLI</x:v>
      </x:c>
      <x:c r="D18" s="2" t="str">
        <x:v>ENT</x:v>
      </x:c>
      <x:c r="E18" s="2" t="str">
        <x:v>VQ_11_40469_EIDS_GLF_MODIF_CLI</x:v>
      </x:c>
      <x:c r="F18" s="2" t="n">
        <x:v>2</x:v>
      </x:c>
      <x:c r="G18" s="2" t="n">
        <x:v>2</x:v>
      </x:c>
      <x:c r="H18" s="2" t="n">
        <x:v>0</x:v>
      </x:c>
      <x:c r="I18" s="2" t="n">
        <x:v>0</x:v>
      </x:c>
      <x:c r="J18" s="17" t="n">
        <x:v>1</x:v>
      </x:c>
      <x:c r="K18" s="17" t="n">
        <x:v>0.5</x:v>
      </x:c>
      <x:c r="L18" s="2" t="n">
        <x:v>2</x:v>
      </x:c>
      <x:c r="M18" s="2" t="n">
        <x:v>1</x:v>
      </x:c>
      <x:c r="N18" s="18" t="n">
        <x:v>0.005300925925925926</x:v>
      </x:c>
      <x:c r="O18" s="18" t="n">
        <x:v>0.004606481481481481</x:v>
      </x:c>
      <x:c r="P18" s="18" t="n">
        <x:v>0.0006134259259259259</x:v>
      </x:c>
      <x:c r="Q18" s="18" t="n">
        <x:v>0.00006944444444444444</x:v>
      </x:c>
      <x:c r="R18" t="n">
        <x:v>51.5</x:v>
      </x:c>
      <x:c r="S18" t="n">
        <x:v>1</x:v>
      </x:c>
    </x:row>
    <x:row r="19">
      <x:c r="A19" s="2" t="n">
        <x:v>20260826</x:v>
      </x:c>
      <x:c r="B19" s="64" t="n">
        <x:v>0.5</x:v>
      </x:c>
      <x:c r="C19" s="2" t="str">
        <x:v>GLF_MODIF_CLI</x:v>
      </x:c>
      <x:c r="D19" s="2" t="str">
        <x:v>ENT</x:v>
      </x:c>
      <x:c r="E19" s="2" t="str">
        <x:v>VQ_11_40469_EIDS_GLF_DEBORD_MUTATION</x:v>
      </x:c>
      <x:c r="F19" s="2" t="n">
        <x:v>3</x:v>
      </x:c>
      <x:c r="G19" s="2" t="n">
        <x:v>3</x:v>
      </x:c>
      <x:c r="H19" s="2" t="n">
        <x:v>0</x:v>
      </x:c>
      <x:c r="I19" s="2" t="n">
        <x:v>0</x:v>
      </x:c>
      <x:c r="J19" s="17" t="n">
        <x:v>1</x:v>
      </x:c>
      <x:c r="K19" s="17" t="n">
        <x:v>0.67</x:v>
      </x:c>
      <x:c r="L19" s="2" t="n">
        <x:v>3</x:v>
      </x:c>
      <x:c r="M19" s="2" t="n">
        <x:v>2</x:v>
      </x:c>
      <x:c r="N19" s="18" t="n">
        <x:v>0.007928240740740741</x:v>
      </x:c>
      <x:c r="O19" s="18" t="n">
        <x:v>0.005636574074074074</x:v>
      </x:c>
      <x:c r="P19" s="18" t="n">
        <x:v>0.0021412037037037038</x:v>
      </x:c>
      <x:c r="Q19" s="18" t="n">
        <x:v>0.00015046296296296297</x:v>
      </x:c>
      <x:c r="R19" t="n">
        <x:v>58.66666667</x:v>
      </x:c>
      <x:c r="S19" t="n">
        <x:v>2</x:v>
      </x:c>
    </x:row>
    <x:row r="20">
      <x:c r="A20" s="2" t="n">
        <x:v>20260826</x:v>
      </x:c>
      <x:c r="B20" s="64" t="n">
        <x:v>0.5</x:v>
      </x:c>
      <x:c r="C20" s="2" t="str">
        <x:v>GLF_MODIF_CLI</x:v>
      </x:c>
      <x:c r="D20" s="2" t="str">
        <x:v>ENT</x:v>
      </x:c>
      <x:c r="E20" s="2" t="str">
        <x:v>VQ_11_40469_EIDS_GLF_MODIF_CLI</x:v>
      </x:c>
      <x:c r="F20" s="2" t="n">
        <x:v>3</x:v>
      </x:c>
      <x:c r="G20" s="2" t="n">
        <x:v>3</x:v>
      </x:c>
      <x:c r="H20" s="2" t="n">
        <x:v>0</x:v>
      </x:c>
      <x:c r="I20" s="2" t="n">
        <x:v>0</x:v>
      </x:c>
      <x:c r="J20" s="17" t="n">
        <x:v>1</x:v>
      </x:c>
      <x:c r="K20" s="17" t="n">
        <x:v>1</x:v>
      </x:c>
      <x:c r="L20" s="2" t="n">
        <x:v>3</x:v>
      </x:c>
      <x:c r="M20" s="2" t="n">
        <x:v>3</x:v>
      </x:c>
      <x:c r="N20" s="18" t="n">
        <x:v>0.005717592592592593</x:v>
      </x:c>
      <x:c r="O20" s="18" t="n">
        <x:v>0.005092592592592593</x:v>
      </x:c>
      <x:c r="P20" s="18" t="n">
        <x:v>0.0005555555555555556</x:v>
      </x:c>
      <x:c r="Q20" s="18" t="n">
        <x:v>0.00005787037037037037</x:v>
      </x:c>
      <x:c r="R20" t="n">
        <x:v>14</x:v>
      </x:c>
      <x:c r="S20" t="n">
        <x:v>2</x:v>
      </x:c>
    </x:row>
    <x:row r="21">
      <x:c r="A21" s="2" t="n">
        <x:v>20260826</x:v>
      </x:c>
      <x:c r="B21" s="64" t="n">
        <x:v>0.5416666666666666</x:v>
      </x:c>
      <x:c r="C21" s="2" t="str">
        <x:v>GLF_MODIF_CLI</x:v>
      </x:c>
      <x:c r="D21" s="2" t="str">
        <x:v>ENT</x:v>
      </x:c>
      <x:c r="E21" s="2" t="str">
        <x:v>VQ_11_40469_EIDS_GLF_MODIF_CLI</x:v>
      </x:c>
      <x:c r="F21" s="2" t="n">
        <x:v>1</x:v>
      </x:c>
      <x:c r="G21" s="2" t="n">
        <x:v>1</x:v>
      </x:c>
      <x:c r="H21" s="2" t="n">
        <x:v>0</x:v>
      </x:c>
      <x:c r="I21" s="2" t="n">
        <x:v>0</x:v>
      </x:c>
      <x:c r="J21" s="17" t="n">
        <x:v>1</x:v>
      </x:c>
      <x:c r="K21" s="17" t="n">
        <x:v>1</x:v>
      </x:c>
      <x:c r="L21" s="2" t="n">
        <x:v>1</x:v>
      </x:c>
      <x:c r="M21" s="2" t="n">
        <x:v>1</x:v>
      </x:c>
      <x:c r="N21" s="18" t="n">
        <x:v>0.005636574074074074</x:v>
      </x:c>
      <x:c r="O21" s="18" t="n">
        <x:v>0.004189814814814815</x:v>
      </x:c>
      <x:c r="P21" s="18" t="n">
        <x:v>0.001099537037037037</x:v>
      </x:c>
      <x:c r="Q21" s="18" t="n">
        <x:v>0.00034722222222222224</x:v>
      </x:c>
      <x:c r="R21" t="n">
        <x:v>2</x:v>
      </x:c>
      <x:c r="S21" t="n">
        <x:v>1</x:v>
      </x:c>
    </x:row>
    <x:row r="22">
      <x:c r="A22" s="2" t="n">
        <x:v>20260826</x:v>
      </x:c>
      <x:c r="B22" s="64" t="n">
        <x:v>0.5520833333333334</x:v>
      </x:c>
      <x:c r="C22" s="2" t="str">
        <x:v>GLF_MODIF_CLI</x:v>
      </x:c>
      <x:c r="D22" s="2" t="str">
        <x:v>ENT</x:v>
      </x:c>
      <x:c r="E22" s="2" t="str">
        <x:v>VQ_11_40469_EIDS_GLF_MODIF_CLI</x:v>
      </x:c>
      <x:c r="F22" s="2" t="n">
        <x:v>1</x:v>
      </x:c>
      <x:c r="G22" s="2" t="n">
        <x:v>1</x:v>
      </x:c>
      <x:c r="H22" s="2" t="n">
        <x:v>0</x:v>
      </x:c>
      <x:c r="I22" s="2" t="n">
        <x:v>0</x:v>
      </x:c>
      <x:c r="J22" s="17" t="n">
        <x:v>1</x:v>
      </x:c>
      <x:c r="K22" s="17" t="n">
        <x:v>1</x:v>
      </x:c>
      <x:c r="L22" s="2" t="n">
        <x:v>1</x:v>
      </x:c>
      <x:c r="M22" s="2" t="n">
        <x:v>1</x:v>
      </x:c>
      <x:c r="N22" s="18" t="n">
        <x:v>0.009953703703703704</x:v>
      </x:c>
      <x:c r="O22" s="18" t="n">
        <x:v>0.009907407407407408</x:v>
      </x:c>
      <x:c r="P22" s="18" t="n">
        <x:v>0</x:v>
      </x:c>
      <x:c r="Q22" s="18" t="n">
        <x:v>0.000046296296296296294</x:v>
      </x:c>
      <x:c r="R22" t="n">
        <x:v>2</x:v>
      </x:c>
      <x:c r="S22" t="n">
        <x:v>1</x:v>
      </x:c>
    </x:row>
    <x:row r="23">
      <x:c r="A23" s="2" t="n">
        <x:v>20260826</x:v>
      </x:c>
      <x:c r="B23" s="64" t="n">
        <x:v>0.5625</x:v>
      </x:c>
      <x:c r="C23" s="2" t="str">
        <x:v>GLF_MODIF_CLI</x:v>
      </x:c>
      <x:c r="D23" s="2" t="str">
        <x:v>ENT</x:v>
      </x:c>
      <x:c r="E23" s="2" t="str">
        <x:v>VQ_11_40469_EIDS_GLF_MODIF_CLI</x:v>
      </x:c>
      <x:c r="F23" s="2" t="n">
        <x:v>1</x:v>
      </x:c>
      <x:c r="G23" s="2" t="n">
        <x:v>1</x:v>
      </x:c>
      <x:c r="H23" s="2" t="n">
        <x:v>0</x:v>
      </x:c>
      <x:c r="I23" s="2" t="n">
        <x:v>0</x:v>
      </x:c>
      <x:c r="J23" s="17" t="n">
        <x:v>1</x:v>
      </x:c>
      <x:c r="K23" s="17" t="n">
        <x:v>1</x:v>
      </x:c>
      <x:c r="L23" s="2" t="n">
        <x:v>1</x:v>
      </x:c>
      <x:c r="M23" s="2" t="n">
        <x:v>1</x:v>
      </x:c>
      <x:c r="N23" s="18" t="n">
        <x:v>0.007060185185185185</x:v>
      </x:c>
      <x:c r="O23" s="18" t="n">
        <x:v>0.006238425925925926</x:v>
      </x:c>
      <x:c r="P23" s="18" t="n">
        <x:v>0.000787037037037037</x:v>
      </x:c>
      <x:c r="Q23" s="18" t="n">
        <x:v>0.00003472222222222222</x:v>
      </x:c>
      <x:c r="R23" t="n">
        <x:v>2</x:v>
      </x:c>
      <x:c r="S23" t="n">
        <x:v>1</x:v>
      </x:c>
    </x:row>
    <x:row r="24">
      <x:c r="A24" s="2" t="n">
        <x:v>20260826</x:v>
      </x:c>
      <x:c r="B24" s="64" t="n">
        <x:v>0.59375</x:v>
      </x:c>
      <x:c r="C24" s="2" t="str">
        <x:v>GLF_MODIF_CLI</x:v>
      </x:c>
      <x:c r="D24" s="2" t="str">
        <x:v>ENT</x:v>
      </x:c>
      <x:c r="E24" s="2" t="str">
        <x:v>VQ_11_40469_EIDS_GLF_MODIF_CLI</x:v>
      </x:c>
      <x:c r="F24" s="2" t="n">
        <x:v>2</x:v>
      </x:c>
      <x:c r="G24" s="2" t="n">
        <x:v>2</x:v>
      </x:c>
      <x:c r="H24" s="2" t="n">
        <x:v>0</x:v>
      </x:c>
      <x:c r="I24" s="2" t="n">
        <x:v>0</x:v>
      </x:c>
      <x:c r="J24" s="17" t="n">
        <x:v>1</x:v>
      </x:c>
      <x:c r="K24" s="17" t="n">
        <x:v>1</x:v>
      </x:c>
      <x:c r="L24" s="2" t="n">
        <x:v>2</x:v>
      </x:c>
      <x:c r="M24" s="2" t="n">
        <x:v>2</x:v>
      </x:c>
      <x:c r="N24" s="18" t="n">
        <x:v>0.003611111111111111</x:v>
      </x:c>
      <x:c r="O24" s="18" t="n">
        <x:v>0.0035185185185185185</x:v>
      </x:c>
      <x:c r="P24" s="18" t="n">
        <x:v>0</x:v>
      </x:c>
      <x:c r="Q24" s="18" t="n">
        <x:v>0.00009259259259259259</x:v>
      </x:c>
      <x:c r="R24" t="n">
        <x:v>2</x:v>
      </x:c>
      <x:c r="S24" t="n">
        <x:v>2</x:v>
      </x:c>
    </x:row>
    <x:row r="25">
      <x:c r="A25" s="2" t="n">
        <x:v>20260826</x:v>
      </x:c>
      <x:c r="B25" s="64" t="n">
        <x:v>0.6041666666666666</x:v>
      </x:c>
      <x:c r="C25" s="2" t="str">
        <x:v>GLF_MODIF_CLI</x:v>
      </x:c>
      <x:c r="D25" s="2" t="str">
        <x:v>ENT</x:v>
      </x:c>
      <x:c r="E25" s="2" t="str">
        <x:v>VQ_11_40469_EIDS_GLF_DEBORD_MUTATION</x:v>
      </x:c>
      <x:c r="F25" s="2" t="n">
        <x:v>2</x:v>
      </x:c>
      <x:c r="G25" s="2" t="n">
        <x:v>2</x:v>
      </x:c>
      <x:c r="H25" s="2" t="n">
        <x:v>0</x:v>
      </x:c>
      <x:c r="I25" s="2" t="n">
        <x:v>0</x:v>
      </x:c>
      <x:c r="J25" s="17" t="n">
        <x:v>1</x:v>
      </x:c>
      <x:c r="K25" s="17" t="n">
        <x:v>1</x:v>
      </x:c>
      <x:c r="L25" s="2" t="n">
        <x:v>2</x:v>
      </x:c>
      <x:c r="M25" s="2" t="n">
        <x:v>2</x:v>
      </x:c>
      <x:c r="N25" s="18" t="n">
        <x:v>0.003912037037037037</x:v>
      </x:c>
      <x:c r="O25" s="18" t="n">
        <x:v>0.003715277777777778</x:v>
      </x:c>
      <x:c r="P25" s="18" t="n">
        <x:v>0</x:v>
      </x:c>
      <x:c r="Q25" s="18" t="n">
        <x:v>0.00019675925925925926</x:v>
      </x:c>
      <x:c r="R25" t="n">
        <x:v>1.5</x:v>
      </x:c>
      <x:c r="S25" t="n">
        <x:v>2</x:v>
      </x:c>
    </x:row>
    <x:row r="26">
      <x:c r="A26" s="2" t="n">
        <x:v>20260826</x:v>
      </x:c>
      <x:c r="B26" s="64" t="n">
        <x:v>0.6041666666666666</x:v>
      </x:c>
      <x:c r="C26" s="2" t="str">
        <x:v>GLF_MODIF_CLI</x:v>
      </x:c>
      <x:c r="D26" s="2" t="str">
        <x:v>ENT</x:v>
      </x:c>
      <x:c r="E26" s="2" t="str">
        <x:v>VQ_11_40469_EIDS_GLF_DEBORD_POLEVIE</x:v>
      </x:c>
      <x:c r="F26" s="2" t="n">
        <x:v>1</x:v>
      </x:c>
      <x:c r="G26" s="2" t="n">
        <x:v>1</x:v>
      </x:c>
      <x:c r="H26" s="2" t="n">
        <x:v>0</x:v>
      </x:c>
      <x:c r="I26" s="2" t="n">
        <x:v>0</x:v>
      </x:c>
      <x:c r="J26" s="17" t="n">
        <x:v>1</x:v>
      </x:c>
      <x:c r="K26" s="17" t="n">
        <x:v>1</x:v>
      </x:c>
      <x:c r="L26" s="2" t="n">
        <x:v>1</x:v>
      </x:c>
      <x:c r="M26" s="2" t="n">
        <x:v>1</x:v>
      </x:c>
      <x:c r="N26" s="18" t="n">
        <x:v>0.005740740740740741</x:v>
      </x:c>
      <x:c r="O26" s="18" t="n">
        <x:v>0.004699074074074074</x:v>
      </x:c>
      <x:c r="P26" s="18" t="n">
        <x:v>0.0006944444444444445</x:v>
      </x:c>
      <x:c r="Q26" s="18" t="n">
        <x:v>0.00034722222222222224</x:v>
      </x:c>
      <x:c r="R26" t="n">
        <x:v>2</x:v>
      </x:c>
      <x:c r="S26" t="n">
        <x:v>1</x:v>
      </x:c>
    </x:row>
    <x:row r="27">
      <x:c r="A27" s="2" t="n">
        <x:v>20260826</x:v>
      </x:c>
      <x:c r="B27" s="64" t="n">
        <x:v>0.6145833333333334</x:v>
      </x:c>
      <x:c r="C27" s="2" t="str">
        <x:v>GLF_MODIF_CLI</x:v>
      </x:c>
      <x:c r="D27" s="2" t="str">
        <x:v>ENT</x:v>
      </x:c>
      <x:c r="E27" s="2" t="str">
        <x:v>VQ_11_40469_EIDS_GLF_DEBORD_MUTATION</x:v>
      </x:c>
      <x:c r="F27" s="2" t="n">
        <x:v>1</x:v>
      </x:c>
      <x:c r="G27" s="2" t="n">
        <x:v>1</x:v>
      </x:c>
      <x:c r="H27" s="2" t="n">
        <x:v>0</x:v>
      </x:c>
      <x:c r="I27" s="2" t="n">
        <x:v>0</x:v>
      </x:c>
      <x:c r="J27" s="17" t="n">
        <x:v>1</x:v>
      </x:c>
      <x:c r="K27" s="17" t="n">
        <x:v>1</x:v>
      </x:c>
      <x:c r="L27" s="2" t="n">
        <x:v>1</x:v>
      </x:c>
      <x:c r="M27" s="2" t="n">
        <x:v>1</x:v>
      </x:c>
      <x:c r="N27" s="18" t="n">
        <x:v>0.0033680555555555556</x:v>
      </x:c>
      <x:c r="O27" s="18" t="n">
        <x:v>0.002638888888888889</x:v>
      </x:c>
      <x:c r="P27" s="18" t="n">
        <x:v>0.0005787037037037037</x:v>
      </x:c>
      <x:c r="Q27" s="18" t="n">
        <x:v>0.00015046296296296297</x:v>
      </x:c>
      <x:c r="R27" t="n">
        <x:v>1</x:v>
      </x:c>
      <x:c r="S27" t="n">
        <x:v>1</x:v>
      </x:c>
    </x:row>
    <x:row r="28">
      <x:c r="A28" s="2" t="n">
        <x:v>20260826</x:v>
      </x:c>
      <x:c r="B28" s="64" t="n">
        <x:v>0.6145833333333334</x:v>
      </x:c>
      <x:c r="C28" s="2" t="str">
        <x:v>GLF_MODIF_CLI</x:v>
      </x:c>
      <x:c r="D28" s="2" t="str">
        <x:v>ENT</x:v>
      </x:c>
      <x:c r="E28" s="2" t="str">
        <x:v>VQ_11_40469_EIDS_GLF_DEBORD_POLEVIE</x:v>
      </x:c>
      <x:c r="F28" s="2" t="n">
        <x:v>3</x:v>
      </x:c>
      <x:c r="G28" s="2" t="n">
        <x:v>3</x:v>
      </x:c>
      <x:c r="H28" s="2" t="n">
        <x:v>0</x:v>
      </x:c>
      <x:c r="I28" s="2" t="n">
        <x:v>0</x:v>
      </x:c>
      <x:c r="J28" s="17" t="n">
        <x:v>1</x:v>
      </x:c>
      <x:c r="K28" s="17" t="n">
        <x:v>1</x:v>
      </x:c>
      <x:c r="L28" s="2" t="n">
        <x:v>3</x:v>
      </x:c>
      <x:c r="M28" s="2" t="n">
        <x:v>3</x:v>
      </x:c>
      <x:c r="N28" s="18" t="n">
        <x:v>0.009270833333333334</x:v>
      </x:c>
      <x:c r="O28" s="18" t="n">
        <x:v>0.007268518518518519</x:v>
      </x:c>
      <x:c r="P28" s="18" t="n">
        <x:v>0.001851851851851852</x:v>
      </x:c>
      <x:c r="Q28" s="18" t="n">
        <x:v>0.0001388888888888889</x:v>
      </x:c>
      <x:c r="R28" t="n">
        <x:v>1</x:v>
      </x:c>
      <x:c r="S28" t="n">
        <x:v>3</x:v>
      </x:c>
    </x:row>
    <x:row r="29">
      <x:c r="A29" s="2" t="n">
        <x:v>20260826</x:v>
      </x:c>
      <x:c r="B29" s="64" t="n">
        <x:v>0.625</x:v>
      </x:c>
      <x:c r="C29" s="2" t="str">
        <x:v>GLF_MODIF_CLI</x:v>
      </x:c>
      <x:c r="D29" s="2" t="str">
        <x:v>ENT</x:v>
      </x:c>
      <x:c r="E29" s="2" t="str">
        <x:v>VQ_11_40469_EIDS_GLF_DEBORD_MUTATION</x:v>
      </x:c>
      <x:c r="F29" s="2" t="n">
        <x:v>3</x:v>
      </x:c>
      <x:c r="G29" s="2" t="n">
        <x:v>3</x:v>
      </x:c>
      <x:c r="H29" s="2" t="n">
        <x:v>0</x:v>
      </x:c>
      <x:c r="I29" s="2" t="n">
        <x:v>0</x:v>
      </x:c>
      <x:c r="J29" s="17" t="n">
        <x:v>1</x:v>
      </x:c>
      <x:c r="K29" s="17" t="n">
        <x:v>1</x:v>
      </x:c>
      <x:c r="L29" s="2" t="n">
        <x:v>3</x:v>
      </x:c>
      <x:c r="M29" s="2" t="n">
        <x:v>3</x:v>
      </x:c>
      <x:c r="N29" s="18" t="n">
        <x:v>0.014826388888888889</x:v>
      </x:c>
      <x:c r="O29" s="18" t="n">
        <x:v>0.007175925925925926</x:v>
      </x:c>
      <x:c r="P29" s="18" t="n">
        <x:v>0.007523148148148148</x:v>
      </x:c>
      <x:c r="Q29" s="18" t="n">
        <x:v>0.00011574074074074075</x:v>
      </x:c>
      <x:c r="R29" t="n">
        <x:v>1.666666667</x:v>
      </x:c>
      <x:c r="S29" t="n">
        <x:v>3</x:v>
      </x:c>
    </x:row>
    <x:row r="30">
      <x:c r="A30" s="2" t="n">
        <x:v>20260826</x:v>
      </x:c>
      <x:c r="B30" s="64" t="n">
        <x:v>0.625</x:v>
      </x:c>
      <x:c r="C30" s="2" t="str">
        <x:v>GLF_MODIF_CLI</x:v>
      </x:c>
      <x:c r="D30" s="2" t="str">
        <x:v>ENT</x:v>
      </x:c>
      <x:c r="E30" s="2" t="str">
        <x:v>VQ_11_40469_EIDS_GLF_DEBORD_POLEVIE</x:v>
      </x:c>
      <x:c r="F30" s="2" t="n">
        <x:v>1</x:v>
      </x:c>
      <x:c r="G30" s="2" t="n">
        <x:v>1</x:v>
      </x:c>
      <x:c r="H30" s="2" t="n">
        <x:v>0</x:v>
      </x:c>
      <x:c r="I30" s="2" t="n">
        <x:v>0</x:v>
      </x:c>
      <x:c r="J30" s="17" t="n">
        <x:v>1</x:v>
      </x:c>
      <x:c r="K30" s="17" t="n">
        <x:v>1</x:v>
      </x:c>
      <x:c r="L30" s="2" t="n">
        <x:v>1</x:v>
      </x:c>
      <x:c r="M30" s="2" t="n">
        <x:v>1</x:v>
      </x:c>
      <x:c r="N30" s="18" t="n">
        <x:v>0.005381944444444444</x:v>
      </x:c>
      <x:c r="O30" s="18" t="n">
        <x:v>0.004074074074074074</x:v>
      </x:c>
      <x:c r="P30" s="18" t="n">
        <x:v>0.0012731481481481483</x:v>
      </x:c>
      <x:c r="Q30" s="18" t="n">
        <x:v>0.00003472222222222222</x:v>
      </x:c>
      <x:c r="R30" t="n">
        <x:v>2</x:v>
      </x:c>
      <x:c r="S30" t="n">
        <x:v>1</x:v>
      </x:c>
    </x:row>
    <x:row r="31">
      <x:c r="A31" s="2" t="n">
        <x:v>20260826</x:v>
      </x:c>
      <x:c r="B31" s="64" t="n">
        <x:v>0.625</x:v>
      </x:c>
      <x:c r="C31" s="2" t="str">
        <x:v>GLF_MODIF_CLI</x:v>
      </x:c>
      <x:c r="D31" s="2" t="str">
        <x:v>ENT</x:v>
      </x:c>
      <x:c r="E31" s="2" t="str">
        <x:v>VQ_11_40469_EIDS_GLF_MODIF_CLI</x:v>
      </x:c>
      <x:c r="F31" s="2" t="n">
        <x:v>2</x:v>
      </x:c>
      <x:c r="G31" s="2" t="n">
        <x:v>2</x:v>
      </x:c>
      <x:c r="H31" s="2" t="n">
        <x:v>0</x:v>
      </x:c>
      <x:c r="I31" s="2" t="n">
        <x:v>0</x:v>
      </x:c>
      <x:c r="J31" s="17" t="n">
        <x:v>1</x:v>
      </x:c>
      <x:c r="K31" s="17" t="n">
        <x:v>1</x:v>
      </x:c>
      <x:c r="L31" s="2" t="n">
        <x:v>2</x:v>
      </x:c>
      <x:c r="M31" s="2" t="n">
        <x:v>2</x:v>
      </x:c>
      <x:c r="N31" s="18" t="n">
        <x:v>0.010011574074074074</x:v>
      </x:c>
      <x:c r="O31" s="18" t="n">
        <x:v>0.006388888888888889</x:v>
      </x:c>
      <x:c r="P31" s="18" t="n">
        <x:v>0.003275462962962963</x:v>
      </x:c>
      <x:c r="Q31" s="18" t="n">
        <x:v>0.00034722222222222224</x:v>
      </x:c>
      <x:c r="R31" t="n">
        <x:v>1</x:v>
      </x:c>
      <x:c r="S31" t="n">
        <x:v>2</x:v>
      </x:c>
    </x:row>
    <x:row r="32">
      <x:c r="A32" s="2" t="n">
        <x:v>20260826</x:v>
      </x:c>
      <x:c r="B32" s="64" t="n">
        <x:v>0.6354166666666666</x:v>
      </x:c>
      <x:c r="C32" s="2" t="str">
        <x:v>GLF_MODIF_CLI</x:v>
      </x:c>
      <x:c r="D32" s="2" t="str">
        <x:v>ENT</x:v>
      </x:c>
      <x:c r="E32" s="2" t="str">
        <x:v>VQ_11_40469_EIDS_GLF_DEBORD_MUTATION</x:v>
      </x:c>
      <x:c r="F32" s="2" t="n">
        <x:v>1</x:v>
      </x:c>
      <x:c r="G32" s="2" t="n">
        <x:v>1</x:v>
      </x:c>
      <x:c r="H32" s="2" t="n">
        <x:v>0</x:v>
      </x:c>
      <x:c r="I32" s="2" t="n">
        <x:v>0</x:v>
      </x:c>
      <x:c r="J32" s="17" t="n">
        <x:v>1</x:v>
      </x:c>
      <x:c r="K32" s="17" t="n">
        <x:v>1</x:v>
      </x:c>
      <x:c r="L32" s="2" t="n">
        <x:v>1</x:v>
      </x:c>
      <x:c r="M32" s="2" t="n">
        <x:v>1</x:v>
      </x:c>
      <x:c r="N32" s="18" t="n">
        <x:v>0.011284722222222222</x:v>
      </x:c>
      <x:c r="O32" s="18" t="n">
        <x:v>0.007326388888888889</x:v>
      </x:c>
      <x:c r="P32" s="18" t="n">
        <x:v>0.003935185185185185</x:v>
      </x:c>
      <x:c r="Q32" s="18" t="n">
        <x:v>0.000023148148148148147</x:v>
      </x:c>
      <x:c r="R32" t="n">
        <x:v>2</x:v>
      </x:c>
      <x:c r="S32" t="n">
        <x:v>1</x:v>
      </x:c>
    </x:row>
    <x:row r="33">
      <x:c r="A33" s="2" t="n">
        <x:v>20260826</x:v>
      </x:c>
      <x:c r="B33" s="64" t="n">
        <x:v>0.6354166666666666</x:v>
      </x:c>
      <x:c r="C33" s="2" t="str">
        <x:v>GLF_MODIF_CLI</x:v>
      </x:c>
      <x:c r="D33" s="2" t="str">
        <x:v>ENT</x:v>
      </x:c>
      <x:c r="E33" s="2" t="str">
        <x:v>VQ_11_40469_EIDS_GLF_DEBORD_POLEVIE</x:v>
      </x:c>
      <x:c r="F33" s="2" t="n">
        <x:v>1</x:v>
      </x:c>
      <x:c r="G33" s="2" t="n">
        <x:v>1</x:v>
      </x:c>
      <x:c r="H33" s="2" t="n">
        <x:v>0</x:v>
      </x:c>
      <x:c r="I33" s="2" t="n">
        <x:v>0</x:v>
      </x:c>
      <x:c r="J33" s="17" t="n">
        <x:v>1</x:v>
      </x:c>
      <x:c r="K33" s="17" t="n">
        <x:v>1</x:v>
      </x:c>
      <x:c r="L33" s="2" t="n">
        <x:v>1</x:v>
      </x:c>
      <x:c r="M33" s="2" t="n">
        <x:v>1</x:v>
      </x:c>
      <x:c r="N33" s="18" t="n">
        <x:v>0.004907407407407407</x:v>
      </x:c>
      <x:c r="O33" s="18" t="n">
        <x:v>0.004560185185185185</x:v>
      </x:c>
      <x:c r="P33" s="18" t="n">
        <x:v>0</x:v>
      </x:c>
      <x:c r="Q33" s="18" t="n">
        <x:v>0.00034722222222222224</x:v>
      </x:c>
      <x:c r="R33" t="n">
        <x:v>2</x:v>
      </x:c>
      <x:c r="S33" t="n">
        <x:v>1</x:v>
      </x:c>
    </x:row>
    <x:row r="34">
      <x:c r="A34" s="2" t="n">
        <x:v>20260826</x:v>
      </x:c>
      <x:c r="B34" s="64" t="n">
        <x:v>0.6354166666666666</x:v>
      </x:c>
      <x:c r="C34" s="2" t="str">
        <x:v>GLF_MODIF_CLI</x:v>
      </x:c>
      <x:c r="D34" s="2" t="str">
        <x:v>ENT</x:v>
      </x:c>
      <x:c r="E34" s="2" t="str">
        <x:v>VQ_11_40469_EIDS_GLF_MODIF_CLI</x:v>
      </x:c>
      <x:c r="F34" s="2" t="n">
        <x:v>2</x:v>
      </x:c>
      <x:c r="G34" s="2" t="n">
        <x:v>2</x:v>
      </x:c>
      <x:c r="H34" s="2" t="n">
        <x:v>0</x:v>
      </x:c>
      <x:c r="I34" s="2" t="n">
        <x:v>0</x:v>
      </x:c>
      <x:c r="J34" s="17" t="n">
        <x:v>1</x:v>
      </x:c>
      <x:c r="K34" s="17" t="n">
        <x:v>1</x:v>
      </x:c>
      <x:c r="L34" s="2" t="n">
        <x:v>2</x:v>
      </x:c>
      <x:c r="M34" s="2" t="n">
        <x:v>2</x:v>
      </x:c>
      <x:c r="N34" s="18" t="n">
        <x:v>0.0038773148148148148</x:v>
      </x:c>
      <x:c r="O34" s="18" t="n">
        <x:v>0.0029745370370370373</x:v>
      </x:c>
      <x:c r="P34" s="18" t="n">
        <x:v>0.0007986111111111112</x:v>
      </x:c>
      <x:c r="Q34" s="18" t="n">
        <x:v>0.00010416666666666667</x:v>
      </x:c>
      <x:c r="R34" t="n">
        <x:v>2</x:v>
      </x:c>
      <x:c r="S34" t="n">
        <x:v>2</x:v>
      </x:c>
    </x:row>
    <x:row r="35">
      <x:c r="A35" s="2" t="n">
        <x:v>20260826</x:v>
      </x:c>
      <x:c r="B35" s="64" t="n">
        <x:v>0.6458333333333334</x:v>
      </x:c>
      <x:c r="C35" s="2" t="str">
        <x:v>GLF_MODIF_CLI</x:v>
      </x:c>
      <x:c r="D35" s="2" t="str">
        <x:v>ENT</x:v>
      </x:c>
      <x:c r="E35" s="2" t="str">
        <x:v>VQ_11_40469_EIDS_GLF_DEBORD_MUTATION</x:v>
      </x:c>
      <x:c r="F35" s="2" t="n">
        <x:v>1</x:v>
      </x:c>
      <x:c r="G35" s="2" t="n">
        <x:v>1</x:v>
      </x:c>
      <x:c r="H35" s="2" t="n">
        <x:v>0</x:v>
      </x:c>
      <x:c r="I35" s="2" t="n">
        <x:v>0</x:v>
      </x:c>
      <x:c r="J35" s="17" t="n">
        <x:v>1</x:v>
      </x:c>
      <x:c r="K35" s="17" t="n">
        <x:v>1</x:v>
      </x:c>
      <x:c r="L35" s="2" t="n">
        <x:v>1</x:v>
      </x:c>
      <x:c r="M35" s="2" t="n">
        <x:v>1</x:v>
      </x:c>
      <x:c r="N35" s="18" t="n">
        <x:v>0.011273148148148148</x:v>
      </x:c>
      <x:c r="O35" s="18" t="n">
        <x:v>0.007314814814814815</x:v>
      </x:c>
      <x:c r="P35" s="18" t="n">
        <x:v>0.003611111111111111</x:v>
      </x:c>
      <x:c r="Q35" s="18" t="n">
        <x:v>0.00034722222222222224</x:v>
      </x:c>
      <x:c r="R35" t="n">
        <x:v>2</x:v>
      </x:c>
      <x:c r="S35" t="n">
        <x:v>1</x:v>
      </x:c>
    </x:row>
    <x:row r="36">
      <x:c r="A36" s="2" t="n">
        <x:v>20260826</x:v>
      </x:c>
      <x:c r="B36" s="64" t="n">
        <x:v>0.6458333333333334</x:v>
      </x:c>
      <x:c r="C36" s="2" t="str">
        <x:v>GLF_MODIF_CLI</x:v>
      </x:c>
      <x:c r="D36" s="2" t="str">
        <x:v>ENT</x:v>
      </x:c>
      <x:c r="E36" s="2" t="str">
        <x:v>VQ_11_40469_EIDS_GLF_MODIF_CLI</x:v>
      </x:c>
      <x:c r="F36" s="2" t="n">
        <x:v>1</x:v>
      </x:c>
      <x:c r="G36" s="2" t="n">
        <x:v>1</x:v>
      </x:c>
      <x:c r="H36" s="2" t="n">
        <x:v>0</x:v>
      </x:c>
      <x:c r="I36" s="2" t="n">
        <x:v>0</x:v>
      </x:c>
      <x:c r="J36" s="17" t="n">
        <x:v>1</x:v>
      </x:c>
      <x:c r="K36" s="17" t="n">
        <x:v>1</x:v>
      </x:c>
      <x:c r="L36" s="2" t="n">
        <x:v>1</x:v>
      </x:c>
      <x:c r="M36" s="2" t="n">
        <x:v>1</x:v>
      </x:c>
      <x:c r="N36" s="18" t="n">
        <x:v>0.006273148148148148</x:v>
      </x:c>
      <x:c r="O36" s="18" t="n">
        <x:v>0.004108796296296296</x:v>
      </x:c>
      <x:c r="P36" s="18" t="n">
        <x:v>0.0021180555555555558</x:v>
      </x:c>
      <x:c r="Q36" s="18" t="n">
        <x:v>0.000046296296296296294</x:v>
      </x:c>
      <x:c r="R36" t="n">
        <x:v>1</x:v>
      </x:c>
      <x:c r="S36" t="n">
        <x:v>1</x:v>
      </x:c>
    </x:row>
    <x:row r="37">
      <x:c r="A37" s="2" t="n">
        <x:v>20260826</x:v>
      </x:c>
      <x:c r="B37" s="64" t="n">
        <x:v>0.65625</x:v>
      </x:c>
      <x:c r="C37" s="2" t="str">
        <x:v>GLF_MODIF_CLI</x:v>
      </x:c>
      <x:c r="D37" s="2" t="str">
        <x:v>ENT</x:v>
      </x:c>
      <x:c r="E37" s="2" t="str">
        <x:v>VQ_11_40469_EIDS_GLF_DEBORD_POLEVIE</x:v>
      </x:c>
      <x:c r="F37" s="2" t="n">
        <x:v>1</x:v>
      </x:c>
      <x:c r="G37" s="2" t="n">
        <x:v>1</x:v>
      </x:c>
      <x:c r="H37" s="2" t="n">
        <x:v>0</x:v>
      </x:c>
      <x:c r="I37" s="2" t="n">
        <x:v>0</x:v>
      </x:c>
      <x:c r="J37" s="17" t="n">
        <x:v>1</x:v>
      </x:c>
      <x:c r="K37" s="17" t="n">
        <x:v>1</x:v>
      </x:c>
      <x:c r="L37" s="2" t="n">
        <x:v>1</x:v>
      </x:c>
      <x:c r="M37" s="2" t="n">
        <x:v>1</x:v>
      </x:c>
      <x:c r="N37" s="18" t="n">
        <x:v>0.002523148148148148</x:v>
      </x:c>
      <x:c r="O37" s="18" t="n">
        <x:v>0.002349537037037037</x:v>
      </x:c>
      <x:c r="P37" s="18" t="n">
        <x:v>0</x:v>
      </x:c>
      <x:c r="Q37" s="18" t="n">
        <x:v>0.00017361111111111112</x:v>
      </x:c>
      <x:c r="R37" t="n">
        <x:v>1</x:v>
      </x:c>
      <x:c r="S37" t="n">
        <x:v>1</x:v>
      </x:c>
    </x:row>
    <x:row r="38">
      <x:c r="A38" s="2" t="n">
        <x:v>20260826</x:v>
      </x:c>
      <x:c r="B38" s="64" t="n">
        <x:v>0.65625</x:v>
      </x:c>
      <x:c r="C38" s="2" t="str">
        <x:v>GLF_MODIF_CLI</x:v>
      </x:c>
      <x:c r="D38" s="2" t="str">
        <x:v>ENT</x:v>
      </x:c>
      <x:c r="E38" s="2" t="str">
        <x:v>VQ_11_40469_EIDS_GLF_MODIF_CLI</x:v>
      </x:c>
      <x:c r="F38" s="2" t="n">
        <x:v>3</x:v>
      </x:c>
      <x:c r="G38" s="2" t="n">
        <x:v>3</x:v>
      </x:c>
      <x:c r="H38" s="2" t="n">
        <x:v>0</x:v>
      </x:c>
      <x:c r="I38" s="2" t="n">
        <x:v>0</x:v>
      </x:c>
      <x:c r="J38" s="17" t="n">
        <x:v>1</x:v>
      </x:c>
      <x:c r="K38" s="17" t="n">
        <x:v>1</x:v>
      </x:c>
      <x:c r="L38" s="2" t="n">
        <x:v>3</x:v>
      </x:c>
      <x:c r="M38" s="2" t="n">
        <x:v>3</x:v>
      </x:c>
      <x:c r="N38" s="18" t="n">
        <x:v>0.00625</x:v>
      </x:c>
      <x:c r="O38" s="18" t="n">
        <x:v>0.004560185185185185</x:v>
      </x:c>
      <x:c r="P38" s="18" t="n">
        <x:v>0.0016435185185185185</x:v>
      </x:c>
      <x:c r="Q38" s="18" t="n">
        <x:v>0.00003472222222222222</x:v>
      </x:c>
      <x:c r="R38" t="n">
        <x:v>1.666666667</x:v>
      </x:c>
      <x:c r="S38" t="n">
        <x:v>3</x:v>
      </x:c>
    </x:row>
    <x:row r="39">
      <x:c r="A39" s="2" t="n">
        <x:v>20260826</x:v>
      </x:c>
      <x:c r="B39" s="64" t="n">
        <x:v>0.6666666666666666</x:v>
      </x:c>
      <x:c r="C39" s="2" t="str">
        <x:v>GLF_MODIF_CLI</x:v>
      </x:c>
      <x:c r="D39" s="2" t="str">
        <x:v>ENT</x:v>
      </x:c>
      <x:c r="E39" s="2" t="str">
        <x:v>VQ_11_40469_EIDS_GLF_DEBORD_POLEVIE</x:v>
      </x:c>
      <x:c r="F39" s="2" t="n">
        <x:v>3</x:v>
      </x:c>
      <x:c r="G39" s="2" t="n">
        <x:v>3</x:v>
      </x:c>
      <x:c r="H39" s="2" t="n">
        <x:v>0</x:v>
      </x:c>
      <x:c r="I39" s="2" t="n">
        <x:v>0</x:v>
      </x:c>
      <x:c r="J39" s="17" t="n">
        <x:v>1</x:v>
      </x:c>
      <x:c r="K39" s="17" t="n">
        <x:v>1</x:v>
      </x:c>
      <x:c r="L39" s="2" t="n">
        <x:v>3</x:v>
      </x:c>
      <x:c r="M39" s="2" t="n">
        <x:v>3</x:v>
      </x:c>
      <x:c r="N39" s="18" t="n">
        <x:v>0.004618055555555556</x:v>
      </x:c>
      <x:c r="O39" s="18" t="n">
        <x:v>0.004097222222222223</x:v>
      </x:c>
      <x:c r="P39" s="18" t="n">
        <x:v>0.0003356481481481481</x:v>
      </x:c>
      <x:c r="Q39" s="18" t="n">
        <x:v>0.00018518518518518518</x:v>
      </x:c>
      <x:c r="R39" t="n">
        <x:v>1.666666667</x:v>
      </x:c>
      <x:c r="S39" t="n">
        <x:v>3</x:v>
      </x:c>
    </x:row>
    <x:row r="40">
      <x:c r="A40" s="2" t="n">
        <x:v>20260826</x:v>
      </x:c>
      <x:c r="B40" s="64" t="n">
        <x:v>0.6666666666666666</x:v>
      </x:c>
      <x:c r="C40" s="2" t="str">
        <x:v>GLF_MODIF_CLI</x:v>
      </x:c>
      <x:c r="D40" s="2" t="str">
        <x:v>ENT</x:v>
      </x:c>
      <x:c r="E40" s="2" t="str">
        <x:v>VQ_11_40469_EIDS_GLF_MODIF_CLI</x:v>
      </x:c>
      <x:c r="F40" s="2" t="n">
        <x:v>3</x:v>
      </x:c>
      <x:c r="G40" s="2" t="n">
        <x:v>3</x:v>
      </x:c>
      <x:c r="H40" s="2" t="n">
        <x:v>0</x:v>
      </x:c>
      <x:c r="I40" s="2" t="n">
        <x:v>0</x:v>
      </x:c>
      <x:c r="J40" s="17" t="n">
        <x:v>1</x:v>
      </x:c>
      <x:c r="K40" s="17" t="n">
        <x:v>1</x:v>
      </x:c>
      <x:c r="L40" s="2" t="n">
        <x:v>3</x:v>
      </x:c>
      <x:c r="M40" s="2" t="n">
        <x:v>3</x:v>
      </x:c>
      <x:c r="N40" s="18" t="n">
        <x:v>0.004814814814814815</x:v>
      </x:c>
      <x:c r="O40" s="18" t="n">
        <x:v>0.004120370370370371</x:v>
      </x:c>
      <x:c r="P40" s="18" t="n">
        <x:v>0.0005439814814814814</x:v>
      </x:c>
      <x:c r="Q40" s="18" t="n">
        <x:v>0.00015046296296296297</x:v>
      </x:c>
      <x:c r="R40" t="n">
        <x:v>1.333333333</x:v>
      </x:c>
      <x:c r="S40" t="n">
        <x:v>3</x:v>
      </x:c>
    </x:row>
    <x:row r="41">
      <x:c r="A41" s="2" t="n">
        <x:v>20260826</x:v>
      </x:c>
      <x:c r="B41" s="64" t="n">
        <x:v>0.6770833333333334</x:v>
      </x:c>
      <x:c r="C41" s="2" t="str">
        <x:v>GLF_MODIF_CLI</x:v>
      </x:c>
      <x:c r="D41" s="2" t="str">
        <x:v>ENT</x:v>
      </x:c>
      <x:c r="E41" s="2" t="str">
        <x:v>VQ_11_40469_EIDS_GLF_DEBORD_MUTATION</x:v>
      </x:c>
      <x:c r="F41" s="2" t="n">
        <x:v>1</x:v>
      </x:c>
      <x:c r="G41" s="2" t="n">
        <x:v>1</x:v>
      </x:c>
      <x:c r="H41" s="2" t="n">
        <x:v>0</x:v>
      </x:c>
      <x:c r="I41" s="2" t="n">
        <x:v>0</x:v>
      </x:c>
      <x:c r="J41" s="17" t="n">
        <x:v>1</x:v>
      </x:c>
      <x:c r="K41" s="17" t="n">
        <x:v>1</x:v>
      </x:c>
      <x:c r="L41" s="2" t="n">
        <x:v>1</x:v>
      </x:c>
      <x:c r="M41" s="2" t="n">
        <x:v>1</x:v>
      </x:c>
      <x:c r="N41" s="18" t="n">
        <x:v>0.005277777777777778</x:v>
      </x:c>
      <x:c r="O41" s="18" t="n">
        <x:v>0.005069444444444444</x:v>
      </x:c>
      <x:c r="P41" s="18" t="n">
        <x:v>0</x:v>
      </x:c>
      <x:c r="Q41" s="18" t="n">
        <x:v>0.00020833333333333335</x:v>
      </x:c>
      <x:c r="R41" t="n">
        <x:v>2</x:v>
      </x:c>
      <x:c r="S41" t="n">
        <x:v>1</x:v>
      </x:c>
    </x:row>
    <x:row r="42">
      <x:c r="A42" s="2" t="n">
        <x:v>20260826</x:v>
      </x:c>
      <x:c r="B42" s="64" t="n">
        <x:v>0.6770833333333334</x:v>
      </x:c>
      <x:c r="C42" s="2" t="str">
        <x:v>GLF_MODIF_CLI</x:v>
      </x:c>
      <x:c r="D42" s="2" t="str">
        <x:v>ENT</x:v>
      </x:c>
      <x:c r="E42" s="2" t="str">
        <x:v>VQ_11_40469_EIDS_GLF_DEBORD_POLEVIE</x:v>
      </x:c>
      <x:c r="F42" s="2" t="n">
        <x:v>2</x:v>
      </x:c>
      <x:c r="G42" s="2" t="n">
        <x:v>2</x:v>
      </x:c>
      <x:c r="H42" s="2" t="n">
        <x:v>0</x:v>
      </x:c>
      <x:c r="I42" s="2" t="n">
        <x:v>0</x:v>
      </x:c>
      <x:c r="J42" s="17" t="n">
        <x:v>1</x:v>
      </x:c>
      <x:c r="K42" s="17" t="n">
        <x:v>1</x:v>
      </x:c>
      <x:c r="L42" s="2" t="n">
        <x:v>2</x:v>
      </x:c>
      <x:c r="M42" s="2" t="n">
        <x:v>2</x:v>
      </x:c>
      <x:c r="N42" s="18" t="n">
        <x:v>0.0103125</x:v>
      </x:c>
      <x:c r="O42" s="18" t="n">
        <x:v>0.009895833333333333</x:v>
      </x:c>
      <x:c r="P42" s="18" t="n">
        <x:v>0.0002777777777777778</x:v>
      </x:c>
      <x:c r="Q42" s="18" t="n">
        <x:v>0.0001388888888888889</x:v>
      </x:c>
      <x:c r="R42" t="n">
        <x:v>2</x:v>
      </x:c>
      <x:c r="S42" t="n">
        <x:v>2</x:v>
      </x:c>
    </x:row>
    <x:row r="43">
      <x:c r="A43" s="2" t="n">
        <x:v>20260826</x:v>
      </x:c>
      <x:c r="B43" s="64" t="n">
        <x:v>0.6770833333333334</x:v>
      </x:c>
      <x:c r="C43" s="2" t="str">
        <x:v>GLF_MODIF_CLI</x:v>
      </x:c>
      <x:c r="D43" s="2" t="str">
        <x:v>ENT</x:v>
      </x:c>
      <x:c r="E43" s="2" t="str">
        <x:v>VQ_11_40469_EIDS_GLF_MODIF_CLI</x:v>
      </x:c>
      <x:c r="F43" s="2" t="n">
        <x:v>3</x:v>
      </x:c>
      <x:c r="G43" s="2" t="n">
        <x:v>3</x:v>
      </x:c>
      <x:c r="H43" s="2" t="n">
        <x:v>0</x:v>
      </x:c>
      <x:c r="I43" s="2" t="n">
        <x:v>0</x:v>
      </x:c>
      <x:c r="J43" s="17" t="n">
        <x:v>1</x:v>
      </x:c>
      <x:c r="K43" s="17" t="n">
        <x:v>1</x:v>
      </x:c>
      <x:c r="L43" s="2" t="n">
        <x:v>3</x:v>
      </x:c>
      <x:c r="M43" s="2" t="n">
        <x:v>3</x:v>
      </x:c>
      <x:c r="N43" s="18" t="n">
        <x:v>0.004872685185185185</x:v>
      </x:c>
      <x:c r="O43" s="18" t="n">
        <x:v>0.003946759259259259</x:v>
      </x:c>
      <x:c r="P43" s="18" t="n">
        <x:v>0.0007638888888888889</x:v>
      </x:c>
      <x:c r="Q43" s="18" t="n">
        <x:v>0.00015046296296296297</x:v>
      </x:c>
      <x:c r="R43" t="n">
        <x:v>1.666666667</x:v>
      </x:c>
      <x:c r="S43" t="n">
        <x:v>3</x:v>
      </x:c>
    </x:row>
    <x:row r="44">
      <x:c r="A44" s="2" t="n">
        <x:v>20260826</x:v>
      </x:c>
      <x:c r="B44" s="64" t="n">
        <x:v>0.6875</x:v>
      </x:c>
      <x:c r="C44" s="2" t="str">
        <x:v>GLF_MODIF_CLI</x:v>
      </x:c>
      <x:c r="D44" s="2" t="str">
        <x:v>ENT</x:v>
      </x:c>
      <x:c r="E44" s="2" t="str">
        <x:v>VQ_11_40469_EIDS_GLF_DEBORD_POLEVIE</x:v>
      </x:c>
      <x:c r="F44" s="2" t="n">
        <x:v>3</x:v>
      </x:c>
      <x:c r="G44" s="2" t="n">
        <x:v>3</x:v>
      </x:c>
      <x:c r="H44" s="2" t="n">
        <x:v>0</x:v>
      </x:c>
      <x:c r="I44" s="2" t="n">
        <x:v>0</x:v>
      </x:c>
      <x:c r="J44" s="17" t="n">
        <x:v>1</x:v>
      </x:c>
      <x:c r="K44" s="17" t="n">
        <x:v>1</x:v>
      </x:c>
      <x:c r="L44" s="2" t="n">
        <x:v>3</x:v>
      </x:c>
      <x:c r="M44" s="2" t="n">
        <x:v>3</x:v>
      </x:c>
      <x:c r="N44" s="18" t="n">
        <x:v>0.01675925925925926</x:v>
      </x:c>
      <x:c r="O44" s="18" t="n">
        <x:v>0.014537037037037038</x:v>
      </x:c>
      <x:c r="P44" s="18" t="n">
        <x:v>0.0021412037037037038</x:v>
      </x:c>
      <x:c r="Q44" s="18" t="n">
        <x:v>0.00006944444444444444</x:v>
      </x:c>
      <x:c r="R44" t="n">
        <x:v>1.666666667</x:v>
      </x:c>
      <x:c r="S44" t="n">
        <x:v>3</x:v>
      </x:c>
    </x:row>
    <x:row r="45">
      <x:c r="A45" s="2" t="n">
        <x:v>20260826</x:v>
      </x:c>
      <x:c r="B45" s="64" t="n">
        <x:v>0.6875</x:v>
      </x:c>
      <x:c r="C45" s="2" t="str">
        <x:v>GLF_MODIF_CLI</x:v>
      </x:c>
      <x:c r="D45" s="2" t="str">
        <x:v>ENT</x:v>
      </x:c>
      <x:c r="E45" s="2" t="str">
        <x:v>VQ_11_40469_EIDS_GLF_MODIF_CLI</x:v>
      </x:c>
      <x:c r="F45" s="2" t="n">
        <x:v>1</x:v>
      </x:c>
      <x:c r="G45" s="2" t="n">
        <x:v>1</x:v>
      </x:c>
      <x:c r="H45" s="2" t="n">
        <x:v>0</x:v>
      </x:c>
      <x:c r="I45" s="2" t="n">
        <x:v>0</x:v>
      </x:c>
      <x:c r="J45" s="17" t="n">
        <x:v>1</x:v>
      </x:c>
      <x:c r="K45" s="17" t="n">
        <x:v>1</x:v>
      </x:c>
      <x:c r="L45" s="2" t="n">
        <x:v>1</x:v>
      </x:c>
      <x:c r="M45" s="2" t="n">
        <x:v>1</x:v>
      </x:c>
      <x:c r="N45" s="18" t="n">
        <x:v>0.004363425925925926</x:v>
      </x:c>
      <x:c r="O45" s="18" t="n">
        <x:v>0.004155092592592592</x:v>
      </x:c>
      <x:c r="P45" s="18" t="n">
        <x:v>0</x:v>
      </x:c>
      <x:c r="Q45" s="18" t="n">
        <x:v>0.00020833333333333335</x:v>
      </x:c>
      <x:c r="R45" t="n">
        <x:v>2</x:v>
      </x:c>
      <x:c r="S45" t="n">
        <x:v>1</x:v>
      </x:c>
    </x:row>
    <x:row r="46">
      <x:c r="A46" s="2" t="n">
        <x:v>20260826</x:v>
      </x:c>
      <x:c r="B46" s="64" t="n">
        <x:v>0.6979166666666666</x:v>
      </x:c>
      <x:c r="C46" s="2" t="str">
        <x:v>GLF_MODIF_CLI</x:v>
      </x:c>
      <x:c r="D46" s="2" t="str">
        <x:v>ENT</x:v>
      </x:c>
      <x:c r="E46" s="2" t="str">
        <x:v>VQ_11_40469_EIDS_GLF_MODIF_CLI</x:v>
      </x:c>
      <x:c r="F46" s="2" t="n">
        <x:v>2</x:v>
      </x:c>
      <x:c r="G46" s="2" t="n">
        <x:v>2</x:v>
      </x:c>
      <x:c r="H46" s="2" t="n">
        <x:v>0</x:v>
      </x:c>
      <x:c r="I46" s="2" t="n">
        <x:v>0</x:v>
      </x:c>
      <x:c r="J46" s="17" t="n">
        <x:v>1</x:v>
      </x:c>
      <x:c r="K46" s="17" t="n">
        <x:v>1</x:v>
      </x:c>
      <x:c r="L46" s="2" t="n">
        <x:v>2</x:v>
      </x:c>
      <x:c r="M46" s="2" t="n">
        <x:v>2</x:v>
      </x:c>
      <x:c r="N46" s="18" t="n">
        <x:v>0.008460648148148148</x:v>
      </x:c>
      <x:c r="O46" s="18" t="n">
        <x:v>0.006851851851851852</x:v>
      </x:c>
      <x:c r="P46" s="18" t="n">
        <x:v>0.0014930555555555556</x:v>
      </x:c>
      <x:c r="Q46" s="18" t="n">
        <x:v>0.00010416666666666667</x:v>
      </x:c>
      <x:c r="R46" t="n">
        <x:v>2</x:v>
      </x:c>
      <x:c r="S46" t="n">
        <x:v>2</x:v>
      </x:c>
    </x:row>
    <x:row r="47">
      <x:c r="A47" s="2" t="n">
        <x:v>20260826</x:v>
      </x:c>
      <x:c r="B47" s="64" t="n">
        <x:v>0.7083333333333334</x:v>
      </x:c>
      <x:c r="C47" s="2" t="str">
        <x:v>GLF_MODIF_CLI</x:v>
      </x:c>
      <x:c r="D47" s="2" t="str">
        <x:v>ENT</x:v>
      </x:c>
      <x:c r="E47" s="2" t="str">
        <x:v>VQ_11_40469_EIDS_GLF_DEBORD_MUTATION</x:v>
      </x:c>
      <x:c r="F47" s="2" t="n">
        <x:v>1</x:v>
      </x:c>
      <x:c r="G47" s="2" t="n">
        <x:v>1</x:v>
      </x:c>
      <x:c r="H47" s="2" t="n">
        <x:v>0</x:v>
      </x:c>
      <x:c r="I47" s="2" t="n">
        <x:v>0</x:v>
      </x:c>
      <x:c r="J47" s="17" t="n">
        <x:v>1</x:v>
      </x:c>
      <x:c r="K47" s="17" t="n">
        <x:v>1</x:v>
      </x:c>
      <x:c r="L47" s="2" t="n">
        <x:v>1</x:v>
      </x:c>
      <x:c r="M47" s="2" t="n">
        <x:v>1</x:v>
      </x:c>
      <x:c r="N47" s="18" t="n">
        <x:v>0.040740740740740744</x:v>
      </x:c>
      <x:c r="O47" s="18" t="n">
        <x:v>0.032916666666666664</x:v>
      </x:c>
      <x:c r="P47" s="18" t="n">
        <x:v>0.007719907407407407</x:v>
      </x:c>
      <x:c r="Q47" s="18" t="n">
        <x:v>0.00010416666666666667</x:v>
      </x:c>
      <x:c r="R47" t="n">
        <x:v>1</x:v>
      </x:c>
      <x:c r="S47" t="n">
        <x:v>1</x:v>
      </x:c>
    </x:row>
    <x:row r="48">
      <x:c r="A48" s="2" t="n">
        <x:v>20260826</x:v>
      </x:c>
      <x:c r="B48" s="64" t="n">
        <x:v>0.7083333333333334</x:v>
      </x:c>
      <x:c r="C48" s="2" t="str">
        <x:v>GLF_MODIF_CLI</x:v>
      </x:c>
      <x:c r="D48" s="2" t="str">
        <x:v>ENT</x:v>
      </x:c>
      <x:c r="E48" s="2" t="str">
        <x:v>VQ_11_40469_EIDS_GLF_MODIF_CLI</x:v>
      </x:c>
      <x:c r="F48" s="2" t="n">
        <x:v>0</x:v>
      </x:c>
      <x:c r="G48" s="2" t="n">
        <x:v>0</x:v>
      </x:c>
      <x:c r="H48" s="2" t="n">
        <x:v>0</x:v>
      </x:c>
      <x:c r="I48" s="2" t="n">
        <x:v>0</x:v>
      </x:c>
      <x:c r="J48" s="17"/>
      <x:c r="K48" s="17"/>
      <x:c r="L48" s="2" t="n">
        <x:v>0</x:v>
      </x:c>
      <x:c r="M48" s="2" t="n">
        <x:v>0</x:v>
      </x:c>
      <x:c r="N48" s="18" t="str">
        <x:v>::</x:v>
      </x:c>
      <x:c r="O48" s="18" t="str">
        <x:v>::</x:v>
      </x:c>
      <x:c r="P48" s="18" t="str">
        <x:v>::</x:v>
      </x:c>
      <x:c r="Q48" s="18" t="str">
        <x:v>::</x:v>
      </x:c>
      <x:c r="R48" t="n">
        <x:v>0</x:v>
      </x:c>
      <x:c r="S48" t="n">
        <x:v>0</x:v>
      </x:c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  <x:tableParts count="1">
    <x:tablePart xmlns:r="http://schemas.openxmlformats.org/officeDocument/2006/relationships" r:id="R23e336067515434c"/>
  </x:tableParts>
</x:worksheet>
</file>

<file path=xl/worksheets/sheet9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24" customHeight="1">
      <x:c r="A1" s="14" t="str">
        <x:v>Groupe</x:v>
      </x:c>
      <x:c r="B1" s="32" t="str">
        <x:v>Type periode</x:v>
      </x:c>
      <x:c r="C1" s="32" t="str">
        <x:v>Periode</x:v>
      </x:c>
      <x:c r="D1" s="32" t="str">
        <x:v>Canal</x:v>
      </x:c>
      <x:c r="E1" s="32" t="str">
        <x:v>Sous-activité</x:v>
      </x:c>
      <x:c r="F1" s="32" t="str">
        <x:v>Appels Reçus</x:v>
      </x:c>
      <x:c r="G1" s="32" t="str">
        <x:v>Appels Traités</x:v>
      </x:c>
      <x:c r="H1" s="32" t="str">
        <x:v>Dissuasion</x:v>
      </x:c>
      <x:c r="I1" s="32" t="str">
        <x:v>Répondu en moins de 180 sec.</x:v>
      </x:c>
      <x:c r="J1" s="32" t="str">
        <x:v>Répondu en moins de 90 sec.</x:v>
      </x:c>
      <x:c r="K1" s="32" t="str">
        <x:v>DMT</x:v>
      </x:c>
      <x:c r="L1" s="32" t="str">
        <x:v>TMA</x:v>
      </x:c>
      <x:c r="M1" s="32" t="str">
        <x:v>VQ GROUPE 1</x:v>
      </x:c>
      <x:c r="N1" s="32" t="str">
        <x:v>Appels Transférés</x:v>
      </x:c>
      <x:c r="O1" s="32" t="str">
        <x:v>Appels Débordés</x:v>
      </x:c>
      <x:c r="P1" s="32" t="str">
        <x:v>DMC</x:v>
      </x:c>
      <x:c r="Q1" s="32" t="str">
        <x:v>DMG</x:v>
      </x:c>
      <x:c r="R1" s="32" t="str">
        <x:v>DMW</x:v>
      </x:c>
      <x:c r="S1" s="32" t="str">
        <x:v>Appels Perdus</x:v>
      </x:c>
      <x:c r="T1" s="32" t="str">
        <x:v>Appels Abandonnés</x:v>
      </x:c>
      <x:c r="U1" s="32" t="str">
        <x:v>Temps d'occupation</x:v>
      </x:c>
      <x:c r="V1" s="32" t="str">
        <x:v>Répondu en moins de 60 sec.</x:v>
      </x:c>
      <x:c r="W1" s="32" t="str">
        <x:v>Répondu en moins de 30 sec.</x:v>
      </x:c>
      <x:c r="X1" s="15" t="str">
        <x:v>Répondu en moins de 20 sec.</x:v>
      </x:c>
    </x:row>
    <x:row r="2">
      <x:c r="A2" s="2" t="str">
        <x:v>G2</x:v>
      </x:c>
      <x:c r="B2" s="2" t="str">
        <x:v>Q</x:v>
      </x:c>
      <x:c r="C2" s="2" t="str">
        <x:v>20260102</x:v>
      </x:c>
      <x:c r="D2" s="2" t="str">
        <x:v>ENT</x:v>
      </x:c>
      <x:c r="E2" s="2" t="str">
        <x:v>VQ_11_40469_EIDS_GLF_DEBORD_MUTATION</x:v>
      </x:c>
      <x:c r="F2" s="2" t="n">
        <x:v>5</x:v>
      </x:c>
      <x:c r="G2" s="2" t="n">
        <x:v>5</x:v>
      </x:c>
      <x:c r="H2" s="2" t="n">
        <x:v>0</x:v>
      </x:c>
      <x:c r="I2" s="2" t="n">
        <x:v>5</x:v>
      </x:c>
      <x:c r="J2" s="2" t="n">
        <x:v>5</x:v>
      </x:c>
      <x:c r="K2" s="2" t="str">
        <x:v>15:08</x:v>
      </x:c>
      <x:c r="L2" s="2" t="n">
        <x:v>2</x:v>
      </x:c>
      <x:c r="M2" s="2" t="str">
        <x:v>GLF_MODIF_CLI</x:v>
      </x:c>
      <x:c r="N2" s="2" t="n">
        <x:v>0</x:v>
      </x:c>
      <x:c r="O2" s="2" t="n">
        <x:v>0</x:v>
      </x:c>
      <x:c r="P2" s="2" t="str">
        <x:v>10:42</x:v>
      </x:c>
      <x:c r="Q2" s="2" t="str">
        <x:v>03:57</x:v>
      </x:c>
      <x:c r="R2" t="str">
        <x:v>00:29</x:v>
      </x:c>
      <x:c r="S2" t="n">
        <x:v>0</x:v>
      </x:c>
      <x:c r="T2" t="n">
        <x:v>0</x:v>
      </x:c>
      <x:c r="U2" t="str">
        <x:v>1:15:41</x:v>
      </x:c>
      <x:c r="V2" t="n">
        <x:v>5</x:v>
      </x:c>
      <x:c r="W2" t="n">
        <x:v>5</x:v>
      </x:c>
      <x:c r="X2" t="n">
        <x:v>5</x:v>
      </x:c>
    </x:row>
    <x:row r="3">
      <x:c r="A3" s="2" t="str">
        <x:v>G2</x:v>
      </x:c>
      <x:c r="B3" s="2" t="str">
        <x:v>Q</x:v>
      </x:c>
      <x:c r="C3" s="2" t="str">
        <x:v>20260102</x:v>
      </x:c>
      <x:c r="D3" s="2" t="str">
        <x:v>ENT</x:v>
      </x:c>
      <x:c r="E3" s="2" t="str">
        <x:v>VQ_11_40469_EIDS_GLF_DEBORD_POLEVIE</x:v>
      </x:c>
      <x:c r="F3" s="2" t="n">
        <x:v>17</x:v>
      </x:c>
      <x:c r="G3" s="2" t="n">
        <x:v>17</x:v>
      </x:c>
      <x:c r="H3" s="2" t="n">
        <x:v>0</x:v>
      </x:c>
      <x:c r="I3" s="2" t="n">
        <x:v>17</x:v>
      </x:c>
      <x:c r="J3" s="2" t="n">
        <x:v>17</x:v>
      </x:c>
      <x:c r="K3" s="2" t="str">
        <x:v>10:26</x:v>
      </x:c>
      <x:c r="L3" s="2" t="n">
        <x:v>1.76470588235294</x:v>
      </x:c>
      <x:c r="M3" s="2" t="str">
        <x:v>GLF_MODIF_CLI</x:v>
      </x:c>
      <x:c r="N3" s="2" t="n">
        <x:v>0</x:v>
      </x:c>
      <x:c r="O3" s="2" t="n">
        <x:v>0</x:v>
      </x:c>
      <x:c r="P3" s="2" t="str">
        <x:v>08:25</x:v>
      </x:c>
      <x:c r="Q3" s="2" t="str">
        <x:v>01:42</x:v>
      </x:c>
      <x:c r="R3" t="str">
        <x:v>00:18</x:v>
      </x:c>
      <x:c r="S3" t="n">
        <x:v>0</x:v>
      </x:c>
      <x:c r="T3" t="n">
        <x:v>0</x:v>
      </x:c>
      <x:c r="U3" t="str">
        <x:v>2:57:22</x:v>
      </x:c>
      <x:c r="V3" t="n">
        <x:v>17</x:v>
      </x:c>
      <x:c r="W3" t="n">
        <x:v>17</x:v>
      </x:c>
      <x:c r="X3" t="n">
        <x:v>17</x:v>
      </x:c>
    </x:row>
    <x:row r="4">
      <x:c r="A4" s="2" t="str">
        <x:v>G2</x:v>
      </x:c>
      <x:c r="B4" s="2" t="str">
        <x:v>Q</x:v>
      </x:c>
      <x:c r="C4" s="2" t="str">
        <x:v>20260102</x:v>
      </x:c>
      <x:c r="D4" s="2" t="str">
        <x:v>ENT</x:v>
      </x:c>
      <x:c r="E4" s="2" t="str">
        <x:v>VQ_11_40469_EIDS_GLF_MODIF_CLI</x:v>
      </x:c>
      <x:c r="F4" s="2" t="n">
        <x:v>14</x:v>
      </x:c>
      <x:c r="G4" s="2" t="n">
        <x:v>14</x:v>
      </x:c>
      <x:c r="H4" s="2" t="n">
        <x:v>0</x:v>
      </x:c>
      <x:c r="I4" s="2" t="n">
        <x:v>14</x:v>
      </x:c>
      <x:c r="J4" s="2" t="n">
        <x:v>14</x:v>
      </x:c>
      <x:c r="K4" s="2" t="str">
        <x:v>09:14</x:v>
      </x:c>
      <x:c r="L4" s="2" t="n">
        <x:v>1.71428571428571</x:v>
      </x:c>
      <x:c r="M4" s="2" t="str">
        <x:v>GLF_MODIF_CLI</x:v>
      </x:c>
      <x:c r="N4" s="2" t="n">
        <x:v>0</x:v>
      </x:c>
      <x:c r="O4" s="2" t="n">
        <x:v>0</x:v>
      </x:c>
      <x:c r="P4" s="2" t="str">
        <x:v>07:52</x:v>
      </x:c>
      <x:c r="Q4" s="2" t="str">
        <x:v>01:05</x:v>
      </x:c>
      <x:c r="R4" t="str">
        <x:v>00:16</x:v>
      </x:c>
      <x:c r="S4" t="n">
        <x:v>0</x:v>
      </x:c>
      <x:c r="T4" t="n">
        <x:v>0</x:v>
      </x:c>
      <x:c r="U4" t="str">
        <x:v>2:09:24</x:v>
      </x:c>
      <x:c r="V4" t="n">
        <x:v>14</x:v>
      </x:c>
      <x:c r="W4" t="n">
        <x:v>14</x:v>
      </x:c>
      <x:c r="X4" t="n">
        <x:v>14</x:v>
      </x:c>
    </x:row>
    <x:row r="5">
      <x:c r="A5" s="2" t="str">
        <x:v>G1</x:v>
      </x:c>
      <x:c r="B5" s="2" t="str">
        <x:v>Q</x:v>
      </x:c>
      <x:c r="C5" s="2" t="str">
        <x:v>20260102</x:v>
      </x:c>
      <x:c r="D5" s="2" t="str">
        <x:v>ENT</x:v>
      </x:c>
      <x:c r="E5" s="2" t="str">
        <x:v>GLF_MODIF_CLI</x:v>
      </x:c>
      <x:c r="F5" s="2" t="n">
        <x:v>36</x:v>
      </x:c>
      <x:c r="G5" s="2" t="n">
        <x:v>36</x:v>
      </x:c>
      <x:c r="H5" s="2" t="n">
        <x:v>0</x:v>
      </x:c>
      <x:c r="I5" s="2" t="n">
        <x:v>36</x:v>
      </x:c>
      <x:c r="J5" s="2" t="n">
        <x:v>36</x:v>
      </x:c>
      <x:c r="K5" s="2" t="str">
        <x:v>10:37</x:v>
      </x:c>
      <x:c r="L5" s="2" t="n">
        <x:v>1.77777777777778</x:v>
      </x:c>
      <x:c r="M5" s="2" t="str">
        <x:v>GLF_MODIF_CLI</x:v>
      </x:c>
      <x:c r="N5" s="2" t="n">
        <x:v>0</x:v>
      </x:c>
      <x:c r="O5" s="2" t="n">
        <x:v>0</x:v>
      </x:c>
      <x:c r="P5" s="2" t="str">
        <x:v>08:31</x:v>
      </x:c>
      <x:c r="Q5" s="2" t="str">
        <x:v>01:46</x:v>
      </x:c>
      <x:c r="R5" t="str">
        <x:v>00:18</x:v>
      </x:c>
      <x:c r="S5" t="n">
        <x:v>0</x:v>
      </x:c>
      <x:c r="T5" t="n">
        <x:v>0</x:v>
      </x:c>
      <x:c r="U5" t="str">
        <x:v>6:22:27</x:v>
      </x:c>
      <x:c r="V5" t="n">
        <x:v>36</x:v>
      </x:c>
      <x:c r="W5" t="n">
        <x:v>36</x:v>
      </x:c>
      <x:c r="X5" t="n">
        <x:v>36</x:v>
      </x:c>
    </x:row>
    <x:row r="6">
      <x:c r="A6" s="2" t="str">
        <x:v>G2</x:v>
      </x:c>
      <x:c r="B6" s="2" t="str">
        <x:v>Q</x:v>
      </x:c>
      <x:c r="C6" s="2" t="str">
        <x:v>20260105</x:v>
      </x:c>
      <x:c r="D6" s="2" t="str">
        <x:v>ENT</x:v>
      </x:c>
      <x:c r="E6" s="2" t="str">
        <x:v>VQ_11_40469_EIDS_GLF_DEBORD_MUTATION</x:v>
      </x:c>
      <x:c r="F6" s="2" t="n">
        <x:v>24</x:v>
      </x:c>
      <x:c r="G6" s="2" t="n">
        <x:v>24</x:v>
      </x:c>
      <x:c r="H6" s="2" t="n">
        <x:v>0</x:v>
      </x:c>
      <x:c r="I6" s="2" t="n">
        <x:v>24</x:v>
      </x:c>
      <x:c r="J6" s="2" t="n">
        <x:v>24</x:v>
      </x:c>
      <x:c r="K6" s="2" t="str">
        <x:v>09:58</x:v>
      </x:c>
      <x:c r="L6" s="2" t="n">
        <x:v>1.70833333333333</x:v>
      </x:c>
      <x:c r="M6" s="2" t="str">
        <x:v>GLF_MODIF_CLI</x:v>
      </x:c>
      <x:c r="N6" s="2" t="n">
        <x:v>0</x:v>
      </x:c>
      <x:c r="O6" s="2" t="n">
        <x:v>0</x:v>
      </x:c>
      <x:c r="P6" s="2" t="str">
        <x:v>07:59</x:v>
      </x:c>
      <x:c r="Q6" s="2" t="str">
        <x:v>01:42</x:v>
      </x:c>
      <x:c r="R6" t="str">
        <x:v>00:16</x:v>
      </x:c>
      <x:c r="S6" t="n">
        <x:v>0</x:v>
      </x:c>
      <x:c r="T6" t="n">
        <x:v>0</x:v>
      </x:c>
      <x:c r="U6" t="str">
        <x:v>3:59:16</x:v>
      </x:c>
      <x:c r="V6" t="n">
        <x:v>24</x:v>
      </x:c>
      <x:c r="W6" t="n">
        <x:v>24</x:v>
      </x:c>
      <x:c r="X6" t="n">
        <x:v>24</x:v>
      </x:c>
    </x:row>
    <x:row r="7">
      <x:c r="A7" s="2" t="str">
        <x:v>G2</x:v>
      </x:c>
      <x:c r="B7" s="2" t="str">
        <x:v>Q</x:v>
      </x:c>
      <x:c r="C7" s="2" t="str">
        <x:v>20260105</x:v>
      </x:c>
      <x:c r="D7" s="2" t="str">
        <x:v>ENT</x:v>
      </x:c>
      <x:c r="E7" s="2" t="str">
        <x:v>VQ_11_40469_EIDS_GLF_DEBORD_POLEVIE</x:v>
      </x:c>
      <x:c r="F7" s="2" t="n">
        <x:v>15</x:v>
      </x:c>
      <x:c r="G7" s="2" t="n">
        <x:v>15</x:v>
      </x:c>
      <x:c r="H7" s="2" t="n">
        <x:v>0</x:v>
      </x:c>
      <x:c r="I7" s="2" t="n">
        <x:v>15</x:v>
      </x:c>
      <x:c r="J7" s="2" t="n">
        <x:v>15</x:v>
      </x:c>
      <x:c r="K7" s="2" t="str">
        <x:v>10:15</x:v>
      </x:c>
      <x:c r="L7" s="2" t="n">
        <x:v>1.66666666666667</x:v>
      </x:c>
      <x:c r="M7" s="2" t="str">
        <x:v>GLF_MODIF_CLI</x:v>
      </x:c>
      <x:c r="N7" s="2" t="n">
        <x:v>0</x:v>
      </x:c>
      <x:c r="O7" s="2" t="n">
        <x:v>0</x:v>
      </x:c>
      <x:c r="P7" s="2" t="str">
        <x:v>08:04</x:v>
      </x:c>
      <x:c r="Q7" s="2" t="str">
        <x:v>01:56</x:v>
      </x:c>
      <x:c r="R7" t="str">
        <x:v>00:14</x:v>
      </x:c>
      <x:c r="S7" t="n">
        <x:v>0</x:v>
      </x:c>
      <x:c r="T7" t="n">
        <x:v>0</x:v>
      </x:c>
      <x:c r="U7" t="str">
        <x:v>2:33:48</x:v>
      </x:c>
      <x:c r="V7" t="n">
        <x:v>15</x:v>
      </x:c>
      <x:c r="W7" t="n">
        <x:v>15</x:v>
      </x:c>
      <x:c r="X7" t="n">
        <x:v>15</x:v>
      </x:c>
    </x:row>
    <x:row r="8">
      <x:c r="A8" s="2" t="str">
        <x:v>G2</x:v>
      </x:c>
      <x:c r="B8" s="2" t="str">
        <x:v>Q</x:v>
      </x:c>
      <x:c r="C8" s="2" t="str">
        <x:v>20260105</x:v>
      </x:c>
      <x:c r="D8" s="2" t="str">
        <x:v>ENT</x:v>
      </x:c>
      <x:c r="E8" s="2" t="str">
        <x:v>VQ_11_40469_EIDS_GLF_MODIF_CLI</x:v>
      </x:c>
      <x:c r="F8" s="2" t="n">
        <x:v>29</x:v>
      </x:c>
      <x:c r="G8" s="2" t="n">
        <x:v>29</x:v>
      </x:c>
      <x:c r="H8" s="2" t="n">
        <x:v>0</x:v>
      </x:c>
      <x:c r="I8" s="2" t="n">
        <x:v>29</x:v>
      </x:c>
      <x:c r="J8" s="2" t="n">
        <x:v>29</x:v>
      </x:c>
      <x:c r="K8" s="2" t="str">
        <x:v>07:56</x:v>
      </x:c>
      <x:c r="L8" s="2" t="n">
        <x:v>1.6551724137931</x:v>
      </x:c>
      <x:c r="M8" s="2" t="str">
        <x:v>GLF_MODIF_CLI</x:v>
      </x:c>
      <x:c r="N8" s="2" t="n">
        <x:v>0</x:v>
      </x:c>
      <x:c r="O8" s="2" t="n">
        <x:v>0</x:v>
      </x:c>
      <x:c r="P8" s="2" t="str">
        <x:v>06:46</x:v>
      </x:c>
      <x:c r="Q8" s="2" t="str">
        <x:v>00:50</x:v>
      </x:c>
      <x:c r="R8" t="str">
        <x:v>00:19</x:v>
      </x:c>
      <x:c r="S8" t="n">
        <x:v>0</x:v>
      </x:c>
      <x:c r="T8" t="n">
        <x:v>0</x:v>
      </x:c>
      <x:c r="U8" t="str">
        <x:v>3:50:18</x:v>
      </x:c>
      <x:c r="V8" t="n">
        <x:v>29</x:v>
      </x:c>
      <x:c r="W8" t="n">
        <x:v>29</x:v>
      </x:c>
      <x:c r="X8" t="n">
        <x:v>29</x:v>
      </x:c>
    </x:row>
    <x:row r="9">
      <x:c r="A9" s="2" t="str">
        <x:v>G1</x:v>
      </x:c>
      <x:c r="B9" s="2" t="str">
        <x:v>Q</x:v>
      </x:c>
      <x:c r="C9" s="2" t="str">
        <x:v>20260105</x:v>
      </x:c>
      <x:c r="D9" s="2" t="str">
        <x:v>ENT</x:v>
      </x:c>
      <x:c r="E9" s="2" t="str">
        <x:v>GLF_MODIF_CLI</x:v>
      </x:c>
      <x:c r="F9" s="2" t="n">
        <x:v>68</x:v>
      </x:c>
      <x:c r="G9" s="2" t="n">
        <x:v>68</x:v>
      </x:c>
      <x:c r="H9" s="2" t="n">
        <x:v>0</x:v>
      </x:c>
      <x:c r="I9" s="2" t="n">
        <x:v>68</x:v>
      </x:c>
      <x:c r="J9" s="2" t="n">
        <x:v>68</x:v>
      </x:c>
      <x:c r="K9" s="2" t="str">
        <x:v>09:10</x:v>
      </x:c>
      <x:c r="L9" s="2" t="n">
        <x:v>1.67647058823529</x:v>
      </x:c>
      <x:c r="M9" s="2" t="str">
        <x:v>GLF_MODIF_CLI</x:v>
      </x:c>
      <x:c r="N9" s="2" t="n">
        <x:v>0</x:v>
      </x:c>
      <x:c r="O9" s="2" t="n">
        <x:v>0</x:v>
      </x:c>
      <x:c r="P9" s="2" t="str">
        <x:v>07:29</x:v>
      </x:c>
      <x:c r="Q9" s="2" t="str">
        <x:v>01:23</x:v>
      </x:c>
      <x:c r="R9" t="str">
        <x:v>00:17</x:v>
      </x:c>
      <x:c r="S9" t="n">
        <x:v>0</x:v>
      </x:c>
      <x:c r="T9" t="n">
        <x:v>0</x:v>
      </x:c>
      <x:c r="U9" t="str">
        <x:v>10:23:22</x:v>
      </x:c>
      <x:c r="V9" t="n">
        <x:v>68</x:v>
      </x:c>
      <x:c r="W9" t="n">
        <x:v>68</x:v>
      </x:c>
      <x:c r="X9" t="n">
        <x:v>68</x:v>
      </x:c>
    </x:row>
    <x:row r="10">
      <x:c r="A10" s="2" t="str">
        <x:v>G2</x:v>
      </x:c>
      <x:c r="B10" s="2" t="str">
        <x:v>Q</x:v>
      </x:c>
      <x:c r="C10" s="2" t="str">
        <x:v>20260106</x:v>
      </x:c>
      <x:c r="D10" s="2" t="str">
        <x:v>ENT</x:v>
      </x:c>
      <x:c r="E10" s="2" t="str">
        <x:v>VQ_11_40469_EIDS_GLF_DEBORD_MUTATION</x:v>
      </x:c>
      <x:c r="F10" s="2" t="n">
        <x:v>34</x:v>
      </x:c>
      <x:c r="G10" s="2" t="n">
        <x:v>34</x:v>
      </x:c>
      <x:c r="H10" s="2" t="n">
        <x:v>0</x:v>
      </x:c>
      <x:c r="I10" s="2" t="n">
        <x:v>34</x:v>
      </x:c>
      <x:c r="J10" s="2" t="n">
        <x:v>34</x:v>
      </x:c>
      <x:c r="K10" s="2" t="str">
        <x:v>10:27</x:v>
      </x:c>
      <x:c r="L10" s="2" t="n">
        <x:v>1.58823529411765</x:v>
      </x:c>
      <x:c r="M10" s="2" t="str">
        <x:v>GLF_MODIF_CLI</x:v>
      </x:c>
      <x:c r="N10" s="2" t="n">
        <x:v>0</x:v>
      </x:c>
      <x:c r="O10" s="2" t="n">
        <x:v>0</x:v>
      </x:c>
      <x:c r="P10" s="2" t="str">
        <x:v>08:52</x:v>
      </x:c>
      <x:c r="Q10" s="2" t="str">
        <x:v>01:13</x:v>
      </x:c>
      <x:c r="R10" t="str">
        <x:v>00:20</x:v>
      </x:c>
      <x:c r="S10" t="n">
        <x:v>0</x:v>
      </x:c>
      <x:c r="T10" t="n">
        <x:v>0</x:v>
      </x:c>
      <x:c r="U10" t="str">
        <x:v>5:55:27</x:v>
      </x:c>
      <x:c r="V10" t="n">
        <x:v>34</x:v>
      </x:c>
      <x:c r="W10" t="n">
        <x:v>34</x:v>
      </x:c>
      <x:c r="X10" t="n">
        <x:v>34</x:v>
      </x:c>
    </x:row>
    <x:row r="11">
      <x:c r="A11" s="2" t="str">
        <x:v>G2</x:v>
      </x:c>
      <x:c r="B11" s="2" t="str">
        <x:v>Q</x:v>
      </x:c>
      <x:c r="C11" s="2" t="str">
        <x:v>20260106</x:v>
      </x:c>
      <x:c r="D11" s="2" t="str">
        <x:v>ENT</x:v>
      </x:c>
      <x:c r="E11" s="2" t="str">
        <x:v>VQ_11_40469_EIDS_GLF_DEBORD_POLEVIE</x:v>
      </x:c>
      <x:c r="F11" s="2" t="n">
        <x:v>15</x:v>
      </x:c>
      <x:c r="G11" s="2" t="n">
        <x:v>15</x:v>
      </x:c>
      <x:c r="H11" s="2" t="n">
        <x:v>0</x:v>
      </x:c>
      <x:c r="I11" s="2" t="n">
        <x:v>15</x:v>
      </x:c>
      <x:c r="J11" s="2" t="n">
        <x:v>15</x:v>
      </x:c>
      <x:c r="K11" s="2" t="str">
        <x:v>10:19</x:v>
      </x:c>
      <x:c r="L11" s="2" t="n">
        <x:v>1.6</x:v>
      </x:c>
      <x:c r="M11" s="2" t="str">
        <x:v>GLF_MODIF_CLI</x:v>
      </x:c>
      <x:c r="N11" s="2" t="n">
        <x:v>0</x:v>
      </x:c>
      <x:c r="O11" s="2" t="n">
        <x:v>0</x:v>
      </x:c>
      <x:c r="P11" s="2" t="str">
        <x:v>08:01</x:v>
      </x:c>
      <x:c r="Q11" s="2" t="str">
        <x:v>02:00</x:v>
      </x:c>
      <x:c r="R11" t="str">
        <x:v>00:18</x:v>
      </x:c>
      <x:c r="S11" t="n">
        <x:v>0</x:v>
      </x:c>
      <x:c r="T11" t="n">
        <x:v>0</x:v>
      </x:c>
      <x:c r="U11" t="str">
        <x:v>2:34:52</x:v>
      </x:c>
      <x:c r="V11" t="n">
        <x:v>15</x:v>
      </x:c>
      <x:c r="W11" t="n">
        <x:v>15</x:v>
      </x:c>
      <x:c r="X11" t="n">
        <x:v>15</x:v>
      </x:c>
    </x:row>
    <x:row r="12">
      <x:c r="A12" s="2" t="str">
        <x:v>G2</x:v>
      </x:c>
      <x:c r="B12" s="2" t="str">
        <x:v>Q</x:v>
      </x:c>
      <x:c r="C12" s="2" t="str">
        <x:v>20260106</x:v>
      </x:c>
      <x:c r="D12" s="2" t="str">
        <x:v>ENT</x:v>
      </x:c>
      <x:c r="E12" s="2" t="str">
        <x:v>VQ_11_40469_EIDS_GLF_MODIF_CLI</x:v>
      </x:c>
      <x:c r="F12" s="2" t="n">
        <x:v>29</x:v>
      </x:c>
      <x:c r="G12" s="2" t="n">
        <x:v>29</x:v>
      </x:c>
      <x:c r="H12" s="2" t="n">
        <x:v>0</x:v>
      </x:c>
      <x:c r="I12" s="2" t="n">
        <x:v>29</x:v>
      </x:c>
      <x:c r="J12" s="2" t="n">
        <x:v>29</x:v>
      </x:c>
      <x:c r="K12" s="2" t="str">
        <x:v>08:10</x:v>
      </x:c>
      <x:c r="L12" s="2" t="n">
        <x:v>1.72413793103448</x:v>
      </x:c>
      <x:c r="M12" s="2" t="str">
        <x:v>GLF_MODIF_CLI</x:v>
      </x:c>
      <x:c r="N12" s="2" t="n">
        <x:v>0</x:v>
      </x:c>
      <x:c r="O12" s="2" t="n">
        <x:v>0</x:v>
      </x:c>
      <x:c r="P12" s="2" t="str">
        <x:v>06:40</x:v>
      </x:c>
      <x:c r="Q12" s="2" t="str">
        <x:v>01:07</x:v>
      </x:c>
      <x:c r="R12" t="str">
        <x:v>00:22</x:v>
      </x:c>
      <x:c r="S12" t="n">
        <x:v>0</x:v>
      </x:c>
      <x:c r="T12" t="n">
        <x:v>0</x:v>
      </x:c>
      <x:c r="U12" t="str">
        <x:v>3:57:06</x:v>
      </x:c>
      <x:c r="V12" t="n">
        <x:v>29</x:v>
      </x:c>
      <x:c r="W12" t="n">
        <x:v>29</x:v>
      </x:c>
      <x:c r="X12" t="n">
        <x:v>29</x:v>
      </x:c>
    </x:row>
    <x:row r="13">
      <x:c r="A13" s="2" t="str">
        <x:v>G1</x:v>
      </x:c>
      <x:c r="B13" s="2" t="str">
        <x:v>Q</x:v>
      </x:c>
      <x:c r="C13" s="2" t="str">
        <x:v>20260106</x:v>
      </x:c>
      <x:c r="D13" s="2" t="str">
        <x:v>ENT</x:v>
      </x:c>
      <x:c r="E13" s="2" t="str">
        <x:v>GLF_MODIF_CLI</x:v>
      </x:c>
      <x:c r="F13" s="2" t="n">
        <x:v>78</x:v>
      </x:c>
      <x:c r="G13" s="2" t="n">
        <x:v>78</x:v>
      </x:c>
      <x:c r="H13" s="2" t="n">
        <x:v>0</x:v>
      </x:c>
      <x:c r="I13" s="2" t="n">
        <x:v>78</x:v>
      </x:c>
      <x:c r="J13" s="2" t="n">
        <x:v>78</x:v>
      </x:c>
      <x:c r="K13" s="2" t="str">
        <x:v>09:34</x:v>
      </x:c>
      <x:c r="L13" s="2" t="n">
        <x:v>1.64102564102564</x:v>
      </x:c>
      <x:c r="M13" s="2" t="str">
        <x:v>GLF_MODIF_CLI</x:v>
      </x:c>
      <x:c r="N13" s="2" t="n">
        <x:v>0</x:v>
      </x:c>
      <x:c r="O13" s="2" t="n">
        <x:v>0</x:v>
      </x:c>
      <x:c r="P13" s="2" t="str">
        <x:v>07:53</x:v>
      </x:c>
      <x:c r="Q13" s="2" t="str">
        <x:v>01:20</x:v>
      </x:c>
      <x:c r="R13" t="str">
        <x:v>00:20</x:v>
      </x:c>
      <x:c r="S13" t="n">
        <x:v>0</x:v>
      </x:c>
      <x:c r="T13" t="n">
        <x:v>0</x:v>
      </x:c>
      <x:c r="U13" t="str">
        <x:v>12:27:25</x:v>
      </x:c>
      <x:c r="V13" t="n">
        <x:v>78</x:v>
      </x:c>
      <x:c r="W13" t="n">
        <x:v>78</x:v>
      </x:c>
      <x:c r="X13" t="n">
        <x:v>78</x:v>
      </x:c>
    </x:row>
    <x:row r="14">
      <x:c r="A14" s="2" t="str">
        <x:v>G2</x:v>
      </x:c>
      <x:c r="B14" s="2" t="str">
        <x:v>Q</x:v>
      </x:c>
      <x:c r="C14" s="2" t="str">
        <x:v>20260107</x:v>
      </x:c>
      <x:c r="D14" s="2" t="str">
        <x:v>ENT</x:v>
      </x:c>
      <x:c r="E14" s="2" t="str">
        <x:v>VQ_11_40469_EIDS_GLF_DEBORD_MUTATION</x:v>
      </x:c>
      <x:c r="F14" s="2" t="n">
        <x:v>33</x:v>
      </x:c>
      <x:c r="G14" s="2" t="n">
        <x:v>33</x:v>
      </x:c>
      <x:c r="H14" s="2" t="n">
        <x:v>0</x:v>
      </x:c>
      <x:c r="I14" s="2" t="n">
        <x:v>33</x:v>
      </x:c>
      <x:c r="J14" s="2" t="n">
        <x:v>33</x:v>
      </x:c>
      <x:c r="K14" s="2" t="str">
        <x:v>10:57</x:v>
      </x:c>
      <x:c r="L14" s="2" t="n">
        <x:v>1.75757575757576</x:v>
      </x:c>
      <x:c r="M14" s="2" t="str">
        <x:v>GLF_MODIF_CLI</x:v>
      </x:c>
      <x:c r="N14" s="2" t="n">
        <x:v>0</x:v>
      </x:c>
      <x:c r="O14" s="2" t="n">
        <x:v>0</x:v>
      </x:c>
      <x:c r="P14" s="2" t="str">
        <x:v>07:47</x:v>
      </x:c>
      <x:c r="Q14" s="2" t="str">
        <x:v>02:50</x:v>
      </x:c>
      <x:c r="R14" t="str">
        <x:v>00:19</x:v>
      </x:c>
      <x:c r="S14" t="n">
        <x:v>0</x:v>
      </x:c>
      <x:c r="T14" t="n">
        <x:v>0</x:v>
      </x:c>
      <x:c r="U14" t="str">
        <x:v>6:01:21</x:v>
      </x:c>
      <x:c r="V14" t="n">
        <x:v>33</x:v>
      </x:c>
      <x:c r="W14" t="n">
        <x:v>33</x:v>
      </x:c>
      <x:c r="X14" t="n">
        <x:v>33</x:v>
      </x:c>
    </x:row>
    <x:row r="15">
      <x:c r="A15" s="2" t="str">
        <x:v>G2</x:v>
      </x:c>
      <x:c r="B15" s="2" t="str">
        <x:v>Q</x:v>
      </x:c>
      <x:c r="C15" s="2" t="str">
        <x:v>20260107</x:v>
      </x:c>
      <x:c r="D15" s="2" t="str">
        <x:v>ENT</x:v>
      </x:c>
      <x:c r="E15" s="2" t="str">
        <x:v>VQ_11_40469_EIDS_GLF_DEBORD_POLEVIE</x:v>
      </x:c>
      <x:c r="F15" s="2" t="n">
        <x:v>22</x:v>
      </x:c>
      <x:c r="G15" s="2" t="n">
        <x:v>22</x:v>
      </x:c>
      <x:c r="H15" s="2" t="n">
        <x:v>0</x:v>
      </x:c>
      <x:c r="I15" s="2" t="n">
        <x:v>22</x:v>
      </x:c>
      <x:c r="J15" s="2" t="n">
        <x:v>22</x:v>
      </x:c>
      <x:c r="K15" s="2" t="str">
        <x:v>09:41</x:v>
      </x:c>
      <x:c r="L15" s="2" t="n">
        <x:v>1.86363636363636</x:v>
      </x:c>
      <x:c r="M15" s="2" t="str">
        <x:v>GLF_MODIF_CLI</x:v>
      </x:c>
      <x:c r="N15" s="2" t="n">
        <x:v>0</x:v>
      </x:c>
      <x:c r="O15" s="2" t="n">
        <x:v>0</x:v>
      </x:c>
      <x:c r="P15" s="2" t="str">
        <x:v>07:44</x:v>
      </x:c>
      <x:c r="Q15" s="2" t="str">
        <x:v>01:37</x:v>
      </x:c>
      <x:c r="R15" t="str">
        <x:v>00:19</x:v>
      </x:c>
      <x:c r="S15" t="n">
        <x:v>0</x:v>
      </x:c>
      <x:c r="T15" t="n">
        <x:v>0</x:v>
      </x:c>
      <x:c r="U15" t="str">
        <x:v>3:33:20</x:v>
      </x:c>
      <x:c r="V15" t="n">
        <x:v>22</x:v>
      </x:c>
      <x:c r="W15" t="n">
        <x:v>22</x:v>
      </x:c>
      <x:c r="X15" t="n">
        <x:v>22</x:v>
      </x:c>
    </x:row>
    <x:row r="16">
      <x:c r="A16" s="2" t="str">
        <x:v>G2</x:v>
      </x:c>
      <x:c r="B16" s="2" t="str">
        <x:v>Q</x:v>
      </x:c>
      <x:c r="C16" s="2" t="str">
        <x:v>20260107</x:v>
      </x:c>
      <x:c r="D16" s="2" t="str">
        <x:v>ENT</x:v>
      </x:c>
      <x:c r="E16" s="2" t="str">
        <x:v>VQ_11_40469_EIDS_GLF_MODIF_CLI</x:v>
      </x:c>
      <x:c r="F16" s="2" t="n">
        <x:v>18</x:v>
      </x:c>
      <x:c r="G16" s="2" t="n">
        <x:v>18</x:v>
      </x:c>
      <x:c r="H16" s="2" t="n">
        <x:v>0</x:v>
      </x:c>
      <x:c r="I16" s="2" t="n">
        <x:v>18</x:v>
      </x:c>
      <x:c r="J16" s="2" t="n">
        <x:v>18</x:v>
      </x:c>
      <x:c r="K16" s="2" t="str">
        <x:v>08:22</x:v>
      </x:c>
      <x:c r="L16" s="2" t="n">
        <x:v>1.61111111111111</x:v>
      </x:c>
      <x:c r="M16" s="2" t="str">
        <x:v>GLF_MODIF_CLI</x:v>
      </x:c>
      <x:c r="N16" s="2" t="n">
        <x:v>0</x:v>
      </x:c>
      <x:c r="O16" s="2" t="n">
        <x:v>0</x:v>
      </x:c>
      <x:c r="P16" s="2" t="str">
        <x:v>06:09</x:v>
      </x:c>
      <x:c r="Q16" s="2" t="str">
        <x:v>01:56</x:v>
      </x:c>
      <x:c r="R16" t="str">
        <x:v>00:17</x:v>
      </x:c>
      <x:c r="S16" t="n">
        <x:v>0</x:v>
      </x:c>
      <x:c r="T16" t="n">
        <x:v>0</x:v>
      </x:c>
      <x:c r="U16" t="str">
        <x:v>2:30:50</x:v>
      </x:c>
      <x:c r="V16" t="n">
        <x:v>18</x:v>
      </x:c>
      <x:c r="W16" t="n">
        <x:v>18</x:v>
      </x:c>
      <x:c r="X16" t="n">
        <x:v>18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  <x:tableParts count="1">
    <x:tablePart xmlns:r="http://schemas.openxmlformats.org/officeDocument/2006/relationships" r:id="Re36e451fcd90437b"/>
  </x:tableParts>
</x:worksheet>
</file>

<file path=xl/worksheets/sheet10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Guide Power Query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Mise en place initiale des connexions aux deux dossiers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4" customHeight="1">
      <x:c r="A6" s="14" t="str">
        <x:v>Étape</x:v>
      </x:c>
      <x:c r="B6" s="15" t="str">
        <x:v>Code / instruction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190" customHeight="1">
      <x:c r="A7" s="67" t="str">
        <x:v>1. Paramètres</x:v>
      </x:c>
      <x:c r="B7" s="68" t="str">
        <x:v>Créer deux requêtes nommées pDossierGenesys et pDossierBilan :
pDossierGenesys
let
    T = Excel.CurrentWorkbook(){[Name="tblParametres"]}[Content],
    P = T{[Paramètre="Dossier Genesys"]}[Valeur]
in
    P
pDossierBilan
let
    T = Excel.CurrentWorkbook(){[Name="tblParametres"]}[Content],
    P = T{[Paramètre="Dossier BILAN"]}[Valeur]
in
    P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90" customHeight="1">
      <x:c r="A8" s="69" t="str">
        <x:v>2. Fonction Genesys</x:v>
      </x:c>
      <x:c r="B8" s="70" t="str">
        <x:v>Nom : fxGenesys
(binary as binary) as table =&gt;
let
    W = Excel.Workbook(binary, null, true),
    S = W{[Item="GENESYS_QUOTIDIEN_DETAILS_VQ_GL",Kind="Sheet"]}[Data],
    H = Table.PromoteHeaders(S,[PromoteAllScalars=true])
in H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90" customHeight="1">
      <x:c r="A9" s="69" t="str">
        <x:v>3. Requête Genesys_Detail</x:v>
      </x:c>
      <x:c r="B9" s="70" t="str">
        <x:v>let
    F = Folder.Files(pDossierGenesys),
    X = Table.SelectRows(F, each List.Contains({".xlsx",".xlsm",".xlsb"}, Text.Lower([Extension])) and not Text.StartsWith([Name], "~$")),
    C = Table.Combine(List.Transform(X[Content], each fxGenesys(_))),
    Types = Table.TransformColumnTypes(C,{{"Jour", type text},{"Créneau horaire", type time},{"VQ", type text},{"Appels Reçus", Int64.Type},{"Appels Traités", Int64.Type}}),
    DateOK = Table.AddColumn(Types,"Date", each Date.FromText(Text.Start([Jour],4)&amp;"-"&amp;Text.Middle([Jour],4,2)&amp;"-"&amp;Text.End([Jour],2)), type date),
    Tranche = Table.AddColumn(DateOK,"Tranche", each if [Créneau horaire] &lt;= #time(13,0,0) then "Matin" else "Après-midi", type text),
    Config = Excel.CurrentWorkbook(){[Name="tblConfigurationVQ"]}[Content],
    Jointure = Table.NestedJoin(Tranche,{"VQ"},Config,{"VQ source"},"Cfg",JoinKind.LeftOuter),
    Cfg = Table.ExpandTableColumn(Jointure,"Cfg",{"Libellé Matin","Libellé Après-midi"}),
    VQTraitement = Table.AddColumn(Cfg,"VQ traitement", each if [Tranche]="Matin" then (if [Libellé Matin]=null then [VQ] else [Libellé Matin]) else (if [Libellé Après-midi]=null then [VQ] else [Libellé Après-midi]), type text)
in
    VQTraitement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190" customHeight="1">
      <x:c r="A10" s="69" t="str">
        <x:v>4. Fonction et requête BILAN</x:v>
      </x:c>
      <x:c r="B10" s="70" t="str">
        <x:v>Nom : fxBilan
(binary as binary) as table =&gt;
let
    W = Excel.Workbook(binary, null, true),
    S = W{[Item="BILAN",Kind="Sheet"]}[Data],
    H = Table.PromoteHeaders(S,[PromoteAllScalars=true])
in H
Nom : Bilan_Detail
let
    F = Folder.Files(pDossierBilan),
    X = Table.SelectRows(F, each List.Contains({".xlsx",".xlsm",".xlsb"}, Text.Lower([Extension])) and not Text.StartsWith([Name], "~$")),
    C = Table.Combine(List.Transform(X[Content], each fxBilan(_))),
    T = Table.TransformColumnTypes(C,{{"Groupe", type text},{"Periode", type text},{"Sous-activité", type text},{"Appels Reçus", Int64.Type},{"Appels Traités", Int64.Type}}),
    DateOK = Table.AddColumn(T,"Date", each Date.FromText(Text.Start([Periode],4)&amp;"-"&amp;Text.Middle([Periode],4,2)&amp;"-"&amp;Text.End([Periode],2)), type date)
in
    DateOK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190" customHeight="1">
      <x:c r="A11" s="69" t="str">
        <x:v>5. Requête Modele_TDB</x:v>
      </x:c>
      <x:c r="B11" s="70" t="str">
        <x:v>let
    ToSeconds = (x as any) as nullable number =&gt;
        if x=null then null else
        let t=try Time.From(x) otherwise null, d=try Duration.From(x) otherwise null
        in if t&lt;&gt;null then Time.Hour(t)*3600+Time.Minute(t)*60+Number.RoundDown(Time.Second(t))
           else if d&lt;&gt;null then Duration.TotalSeconds(d) else null,
    B0 = Table.SelectRows(Bilan_Detail, each [Groupe]="G1" or [Groupe]="G2"),
    B1 = Table.AddColumn(B0,"Niveau",each if [Groupe]="G1" then "BILAN_GLOBAL" else "BILAN_VQ",type text),
    B2 = Table.AddColumn(B1,"VQ traitement",each if [Groupe]="G1" then "Global" else [#"Sous-activité"],type text),
    B3 = Table.AddColumn(B2,"Tranche",each "Global",type text),
    B4 = Table.AddColumn(B3,"DMT sec",each ToSeconds([DMT]),type number),
    B5 = Table.AddColumn(B4,"DMC sec",each ToSeconds([DMC]),type number),
    B = Table.SelectColumns(B5,{"Date","Niveau","VQ traitement","Tranche","Appels Reçus","Appels Traités","DMT sec","DMC sec"}),
    G0 = Table.AddColumn(Genesys_Detail,"Niveau",each "GENESYS_TRANCHE",type text),
    G1 = Table.AddColumn(G0,"DMT sec",each ToSeconds([DMT]),type number),
    G2 = Table.AddColumn(G1,"DMC sec",each ToSeconds([DMC]),type number),
    G = Table.SelectColumns(G2,{"Date","Niveau","VQ traitement","Tranche","Appels Reçus","Appels Traités","DMT sec","DMC sec"}),
    Base = Table.Combine({B,G}),
    W1 = Table.AddColumn(Base,"DMT pondéré sec",each if [DMT sec]=null then 0 else [DMT sec]*[Appels Traités],type number),
    W2 = Table.AddColumn(W1,"Poids DMT",each if [DMT sec]=null then 0 else [Appels Traités],type number),
    W3 = Table.AddColumn(W2,"DMC pondéré sec",each if [DMC sec]=null then 0 else [DMC sec]*[Appels Traités],type number),
    W4 = Table.AddColumn(W3,"Poids DMC",each if [DMC sec]=null then 0 else [Appels Traités],type number),
    Etendre = (TypePeriode as text) as table =&gt;
      let A=Table.AddColumn(W4,"Type période",each TypePeriode,type text),
          P=Table.AddColumn(A,"Période",each if TypePeriode="Jour" then Date.ToText([Date],"yyyy-MM-dd")
             else if TypePeriode="Semaine" then Text.From(Date.Year([Date]))&amp;"-S"&amp;Text.PadStart(Text.From(Date.WeekOfYear([Date],Day.Monday)),2,"0")
             else if TypePeriode="Mois" then Date.ToText([Date],"yyyy-MM") else Text.From(Date.Year([Date])),type text),
          D=Table.AddColumn(P,"Début période",each if TypePeriode="Jour" then [Date]
             else if TypePeriode="Semaine" then Date.StartOfWeek([Date],Day.Monday)
             else if TypePeriode="Mois" then Date.StartOfMonth([Date]) else Date.StartOfYear([Date]),type date)
      in D,
    E = Table.Combine(List.Transform({"Jour","Semaine","Mois","Année"}, each Etendre(_))),
    Groupes = Table.Group(E,{"Type période","Période","Début période","Niveau","VQ traitement","Tranche"},
      {{"Appels reçus",each List.Sum([Appels Reçus]),type number},{"Appels traités",each List.Sum([Appels Traités]),type number},
       {"DMT pondéré sec",each List.Sum([DMT pondéré sec]),type number},{"Poids DMT",each List.Sum([Poids DMT]),type number},
       {"DMC pondéré sec",each List.Sum([DMC pondéré sec]),type number},{"Poids DMC",each List.Sum([Poids DMC]),type number}})
in
    Groupes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90" customHeight="1">
      <x:c r="A12" s="71" t="str">
        <x:v>6. Chargement</x:v>
      </x:c>
      <x:c r="B12" s="72" t="str">
        <x:v>Charger Modele_TDB dans la feuille « Données préparées » à la place de tblModeleTDB, puis utiliser Données &gt; Actualiser tout. Ne jamais additionner les lignes G1 et G2 ensemble : G1 sert au global, G2 au détail par VQ.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H2"/>
    <x:mergeCell ref="A3:H3"/>
  </x:mergeCells>
  <x:pageMargins left="0.7" right="0.7" top="0.75" bottom="0.75" header="0.3" footer="0.3"/>
</x:worksheet>
</file>