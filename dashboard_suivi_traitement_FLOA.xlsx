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16_G\Desktop\"/>
    </mc:Choice>
  </mc:AlternateContent>
  <xr:revisionPtr revIDLastSave="0" documentId="13_ncr:1_{09E26B3C-B80E-4175-BA7D-538C58745BF2}" xr6:coauthVersionLast="47" xr6:coauthVersionMax="47" xr10:uidLastSave="{00000000-0000-0000-0000-000000000000}"/>
  <bookViews>
    <workbookView xWindow="-108" yWindow="-108" windowWidth="23256" windowHeight="13896" activeTab="7" xr2:uid="{00000000-000D-0000-FFFF-FFFF00000000}"/>
  </bookViews>
  <sheets>
    <sheet name="Suivi traitement" sheetId="1" r:id="rId1"/>
    <sheet name="Statistique" sheetId="2" r:id="rId2"/>
    <sheet name="Stat par agent" sheetId="3" r:id="rId3"/>
    <sheet name="Data brut" sheetId="4" r:id="rId4"/>
    <sheet name="Paramètres" sheetId="5" r:id="rId5"/>
    <sheet name="Annuaire" sheetId="6" r:id="rId6"/>
    <sheet name="Guide Power Query" sheetId="7" r:id="rId7"/>
    <sheet name="source" sheetId="8" r:id="rId8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3" i="5" l="1" a="1"/>
  <c r="T4" i="5" s="1"/>
  <c r="R3" i="5" a="1"/>
  <c r="R4" i="5" s="1"/>
  <c r="P3" i="5" a="1"/>
  <c r="P5" i="5" s="1"/>
  <c r="A36" i="1" s="1"/>
  <c r="B36" i="1" s="1"/>
  <c r="N3" i="5" a="1"/>
  <c r="N3" i="5" s="1"/>
  <c r="A15" i="1" s="1"/>
  <c r="B15" i="1" s="1"/>
  <c r="L3" i="5" a="1"/>
  <c r="L3" i="5" s="1"/>
  <c r="A53" i="1" s="1"/>
  <c r="B53" i="1" s="1"/>
  <c r="J3" i="5" a="1"/>
  <c r="J3" i="5" s="1"/>
  <c r="H3" i="5" a="1"/>
  <c r="H3" i="5"/>
  <c r="I10" i="3"/>
  <c r="I9" i="3"/>
  <c r="I8" i="3"/>
  <c r="I7" i="3"/>
  <c r="H10" i="2"/>
  <c r="H9" i="2"/>
  <c r="H8" i="2"/>
  <c r="H7" i="2"/>
  <c r="A63" i="1"/>
  <c r="B63" i="1" s="1"/>
  <c r="A62" i="1"/>
  <c r="B62" i="1" s="1"/>
  <c r="A61" i="1"/>
  <c r="B61" i="1" s="1"/>
  <c r="A60" i="1"/>
  <c r="B60" i="1" s="1"/>
  <c r="B59" i="1"/>
  <c r="A59" i="1"/>
  <c r="A58" i="1"/>
  <c r="B58" i="1" s="1"/>
  <c r="A57" i="1"/>
  <c r="B57" i="1" s="1"/>
  <c r="A56" i="1"/>
  <c r="B56" i="1" s="1"/>
  <c r="A55" i="1"/>
  <c r="B55" i="1" s="1"/>
  <c r="A54" i="1"/>
  <c r="B54" i="1" s="1"/>
  <c r="A45" i="1"/>
  <c r="B45" i="1" s="1"/>
  <c r="A44" i="1"/>
  <c r="B44" i="1" s="1"/>
  <c r="A43" i="1"/>
  <c r="B43" i="1" s="1"/>
  <c r="A42" i="1"/>
  <c r="B42" i="1" s="1"/>
  <c r="A41" i="1"/>
  <c r="B41" i="1" s="1"/>
  <c r="B40" i="1"/>
  <c r="A40" i="1"/>
  <c r="A39" i="1"/>
  <c r="B39" i="1" s="1"/>
  <c r="A38" i="1"/>
  <c r="B38" i="1" s="1"/>
  <c r="A37" i="1"/>
  <c r="B37" i="1" s="1"/>
  <c r="A25" i="1"/>
  <c r="B25" i="1" s="1"/>
  <c r="A24" i="1"/>
  <c r="B24" i="1" s="1"/>
  <c r="A23" i="1"/>
  <c r="B23" i="1" s="1"/>
  <c r="A22" i="1"/>
  <c r="B22" i="1" s="1"/>
  <c r="A21" i="1"/>
  <c r="B21" i="1" s="1"/>
  <c r="B20" i="1"/>
  <c r="A20" i="1"/>
  <c r="A19" i="1"/>
  <c r="B19" i="1" s="1"/>
  <c r="A18" i="1"/>
  <c r="B18" i="1" s="1"/>
  <c r="A17" i="1"/>
  <c r="B17" i="1" s="1"/>
  <c r="M6" i="1"/>
  <c r="I6" i="1"/>
  <c r="E6" i="1"/>
  <c r="A6" i="1"/>
  <c r="P3" i="5" l="1"/>
  <c r="A34" i="1" s="1"/>
  <c r="B34" i="1" s="1"/>
  <c r="R3" i="5"/>
  <c r="N4" i="5"/>
  <c r="A16" i="1" s="1"/>
  <c r="B16" i="1" s="1"/>
  <c r="P4" i="5"/>
  <c r="A35" i="1" s="1"/>
  <c r="B35" i="1" s="1"/>
  <c r="T3" i="5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x:ext xmlns:x="http://schemas.openxmlformats.org/spreadsheetml/2006/main" uri="{bdbb8cdc-fa1e-496e-a857-3c3f30c029c3}">
          <xda:dynamicArrayProperties xmlns:xda="http://schemas.microsoft.com/office/spreadsheetml/2017/dynamicarray" fDynamic="1" fCollapsed="0"/>
        </x: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<sst xmlns="http://schemas.openxmlformats.org/spreadsheetml/2006/main" count="405" uniqueCount="167">
  <si>
    <t>SUIVI DE TRAITEMENT</t>
  </si>
  <si>
    <t>Pilotage des traitements · filtres indépendants par activité, produit et site</t>
  </si>
  <si>
    <t>TRAITEMENTS</t>
  </si>
  <si>
    <t>DOSSIERS UNIQUES</t>
  </si>
  <si>
    <t>COLLABORATEURS ACTIFS</t>
  </si>
  <si>
    <t>AGENTS NON RÉFÉRENCÉS</t>
  </si>
  <si>
    <t>STATISTIQUES PAR ACTIVITÉ</t>
  </si>
  <si>
    <t>Mois</t>
  </si>
  <si>
    <t>Semaine</t>
  </si>
  <si>
    <t>Site</t>
  </si>
  <si>
    <t>Tous</t>
  </si>
  <si>
    <t>Activité</t>
  </si>
  <si>
    <t>Dossiers traités</t>
  </si>
  <si>
    <t>STATISTIQUES PAR PRODUIT</t>
  </si>
  <si>
    <t>Date</t>
  </si>
  <si>
    <t>Dispo</t>
  </si>
  <si>
    <t>Toutes</t>
  </si>
  <si>
    <t>Produit</t>
  </si>
  <si>
    <t>STATISTIQUES PAR SITE</t>
  </si>
  <si>
    <t>MODE D'EMPLOI · choisissez les valeurs dans les listes déroulantes. « Tous » neutralise un filtre. La date est filtrée uniquement lorsqu'une date précise est sélectionnée.</t>
  </si>
  <si>
    <t>STATISTIQUE · SYNTHÈSE</t>
  </si>
  <si>
    <t>Détail agrégé par mois, semaine, site, date, activité, produit et disponibilité</t>
  </si>
  <si>
    <t>Nombre de dossiers traités</t>
  </si>
  <si>
    <t>2026-08</t>
  </si>
  <si>
    <t>2026-S34</t>
  </si>
  <si>
    <t>Tunis</t>
  </si>
  <si>
    <t>Live Console</t>
  </si>
  <si>
    <t>CCL SFR</t>
  </si>
  <si>
    <t>(Non renseigné)</t>
  </si>
  <si>
    <t>Octroi Classique</t>
  </si>
  <si>
    <t>CLA</t>
  </si>
  <si>
    <t>OUI</t>
  </si>
  <si>
    <t>Lydia/BANKIN</t>
  </si>
  <si>
    <t>STATISTIQUES PAR AGENT</t>
  </si>
  <si>
    <t>Détail agrégé par collaborateur avec filtres Excel sur toutes les dimensions</t>
  </si>
  <si>
    <t>Collaborateur</t>
  </si>
  <si>
    <t>chaachoui youssef</t>
  </si>
  <si>
    <t>DATA BRUT · TRAITEMENTS</t>
  </si>
  <si>
    <t>Données enrichies après fusion PersoID ↔ PERSOID · filtres Excel disponibles sur chaque colonne</t>
  </si>
  <si>
    <t>Le compteur vaut 1 par ligne de traitement. Les dossiers uniques sont calculés séparément dans le dashboard.</t>
  </si>
  <si>
    <t>Dossier</t>
  </si>
  <si>
    <t>Décision</t>
  </si>
  <si>
    <t>Commentaire</t>
  </si>
  <si>
    <t>PersoID</t>
  </si>
  <si>
    <t>Type dossier</t>
  </si>
  <si>
    <t>Date/heure</t>
  </si>
  <si>
    <t>123456</t>
  </si>
  <si>
    <t>ACC VALIDE</t>
  </si>
  <si>
    <t>ok</t>
  </si>
  <si>
    <t>E16_G</t>
  </si>
  <si>
    <t>1ère étude</t>
  </si>
  <si>
    <t>1234567</t>
  </si>
  <si>
    <t>123</t>
  </si>
  <si>
    <t>1</t>
  </si>
  <si>
    <t>12</t>
  </si>
  <si>
    <t>123456789</t>
  </si>
  <si>
    <t>test</t>
  </si>
  <si>
    <t>PARAMÈTRES DU DASHBOARD</t>
  </si>
  <si>
    <t>Modifier uniquement les cellules bleu clair, puis utiliser Données &gt; Actualiser tout après activation de Power Query</t>
  </si>
  <si>
    <t>Paramètre</t>
  </si>
  <si>
    <t>Valeur</t>
  </si>
  <si>
    <t>Utilisation</t>
  </si>
  <si>
    <t>CheminSource</t>
  </si>
  <si>
    <t>C:\A_COMPLETER\Sources</t>
  </si>
  <si>
    <t>Dossier racine contenant année/mois, CSV agents et archive</t>
  </si>
  <si>
    <t>SeparateurCSV</t>
  </si>
  <si>
    <t>;</t>
  </si>
  <si>
    <t>Séparateur utilisé par les fichiers CSV</t>
  </si>
  <si>
    <t>EncodageCSV</t>
  </si>
  <si>
    <t>65001</t>
  </si>
  <si>
    <t>65001 = UTF-8</t>
  </si>
  <si>
    <t>CultureDate</t>
  </si>
  <si>
    <t>fr-FR</t>
  </si>
  <si>
    <t>Culture utilisée pour typer DateTime</t>
  </si>
  <si>
    <t>Listes de filtres dynamiques · alimentées par tblDataBrut</t>
  </si>
  <si>
    <t>ANNUAIRE DES AGENTS</t>
  </si>
  <si>
    <t>Référentiel utilisé pour la fusion : source[PersoID] = Annuaire[PERSOID]</t>
  </si>
  <si>
    <t>LOGID</t>
  </si>
  <si>
    <t>Nom</t>
  </si>
  <si>
    <t>Prénom</t>
  </si>
  <si>
    <t>PERSOID</t>
  </si>
  <si>
    <t>Nom Complet</t>
  </si>
  <si>
    <t>Email</t>
  </si>
  <si>
    <t>Code Sas</t>
  </si>
  <si>
    <t>Date embauche</t>
  </si>
  <si>
    <t>Manager</t>
  </si>
  <si>
    <t>Sous activité</t>
  </si>
  <si>
    <t>RABAT</t>
  </si>
  <si>
    <t>AAZAROU</t>
  </si>
  <si>
    <t>BOUTAYNA</t>
  </si>
  <si>
    <t>AAZAROBO</t>
  </si>
  <si>
    <t>AAZAROU BOUTAYNA</t>
  </si>
  <si>
    <t>planifetstat@e-i.com</t>
  </si>
  <si>
    <t>IPSAABO</t>
  </si>
  <si>
    <t>MOUNAJSO</t>
  </si>
  <si>
    <t>PRESSE</t>
  </si>
  <si>
    <t>La Presse</t>
  </si>
  <si>
    <t>ABBASSI</t>
  </si>
  <si>
    <t>Yassir</t>
  </si>
  <si>
    <t>ABBASSYA</t>
  </si>
  <si>
    <t>ABBASSI Yassir</t>
  </si>
  <si>
    <t>IPSABYA</t>
  </si>
  <si>
    <t>BELMALME</t>
  </si>
  <si>
    <t>COFIDIS</t>
  </si>
  <si>
    <t>COFIDIS DCL DRC DPA</t>
  </si>
  <si>
    <t>chaachoui</t>
  </si>
  <si>
    <t>youssef</t>
  </si>
  <si>
    <t>yc@yc.com</t>
  </si>
  <si>
    <t>ipchaach</t>
  </si>
  <si>
    <t>abcd</t>
  </si>
  <si>
    <t>data</t>
  </si>
  <si>
    <t>GUIDE POWER QUERY</t>
  </si>
  <si>
    <t>Activation en 3 requêtes : qDataBrut, qStatistique et qStatAgent</t>
  </si>
  <si>
    <t>Renseigner Paramètres!B6 avec le dossier racine. Folder.Files parcourt aussi les sous-dossiers année/mois et archive.</t>
  </si>
  <si>
    <t>2</t>
  </si>
  <si>
    <t>Excel &gt; Données &gt; Obtenir des données &gt; À partir d'autres sources &gt; Requête vide &gt; Éditeur avancé.</t>
  </si>
  <si>
    <t>3</t>
  </si>
  <si>
    <t>Créer qDataBrut avec le code ci-dessous, puis charger dans Data brut et renommer la table tblDataBrut.</t>
  </si>
  <si>
    <t>4</t>
  </si>
  <si>
    <t>Créer qStatistique et qStatAgent en référence à qDataBrut, puis charger dans les feuilles correspondantes.</t>
  </si>
  <si>
    <t>5</t>
  </si>
  <si>
    <t>Utiliser Données &gt; Actualiser tout. Contrôler la carte Agents non référencés : elle doit rester à zéro.</t>
  </si>
  <si>
    <t>Requête</t>
  </si>
  <si>
    <t>Code M à copier dans l'Éditeur avancé</t>
  </si>
  <si>
    <t>qDataBrut</t>
  </si>
  <si>
    <t>let</t>
  </si>
  <si>
    <t>Params = Excel.CurrentWorkbook(){[Name="tblParametres"]}[Content],</t>
  </si>
  <si>
    <t>Param = (Nom as text) as text =&gt; Text.From(Params{[Paramètre=Nom]}[Valeur]),</t>
  </si>
  <si>
    <t>Racine = Param("CheminSource"),</t>
  </si>
  <si>
    <t>Separateur = Param("SeparateurCSV"),</t>
  </si>
  <si>
    <t>Encodage = Number.FromText(Param("EncodageCSV")),</t>
  </si>
  <si>
    <t>Culture = Param("CultureDate"),</t>
  </si>
  <si>
    <t>Fichiers = Table.SelectRows(Folder.Files(Racine), each Text.Lower([Extension]) = ".csv" and not Text.StartsWith([Name], "~$")),</t>
  </si>
  <si>
    <t>AvecTables = Table.AddColumn(Fichiers, "Données", each Table.PromoteHeaders(Csv.Document([Content], [Delimiter=Separateur, Encoding=Encodage, QuoteStyle=QuoteStyle.Csv]), [PromoteAllScalars=true])),</t>
  </si>
  <si>
    <t>SourceCombinee = Table.Combine(AvecTables[Données]),</t>
  </si>
  <si>
    <t>NomsNettoyes = Table.TransformColumnNames(SourceCombinee, each Text.Trim(_)),</t>
  </si>
  <si>
    <t>Types = Table.TransformColumnTypes(NomsNettoyes, {{"NumeroDossier", type text}, {"PersoID", type text}, {"DateTime", type datetime}, {"Activite", type text}, {"Produit", type text}, {"TypeDossier", type text}, {"Decision", type text}, {"Dispo", type text}, {"Commentaire", type text}}, Culture),</t>
  </si>
  <si>
    <t>Annuaire0 = Excel.CurrentWorkbook(){[Name="tblAnnuaire"]}[Content],</t>
  </si>
  <si>
    <t>Annuaire = Table.TransformColumnTypes(Annuaire0, {{"PERSOID", type text}, {"Nom Complet", type text}, {"Site", type text}}),</t>
  </si>
  <si>
    <t>Fusion = Table.NestedJoin(Types, {"PersoID"}, Annuaire, {"PERSOID"}, "Annuaire", JoinKind.LeftOuter),</t>
  </si>
  <si>
    <t>Agent = Table.ExpandTableColumn(Fusion, "Annuaire", {"Nom Complet", "Site"}, {"Collaborateur", "Site"}),</t>
  </si>
  <si>
    <t>AgentsManquants = Table.ReplaceValue(Agent, null, "Agent non référencé", Replacer.ReplaceValue, {"Collaborateur"}),</t>
  </si>
  <si>
    <t>SitesManquants = Table.ReplaceValue(AgentsManquants, null, "Site non référencé", Replacer.ReplaceValue, {"Site"}),</t>
  </si>
  <si>
    <t>DispoNettoyee = Table.ReplaceValue(SitesManquants, null, "(Non renseigné)", Replacer.ReplaceValue, {"Dispo"}),</t>
  </si>
  <si>
    <t>DateAjoutee = Table.AddColumn(DispoNettoyee, "Date", each Date.From([DateTime]), type date),</t>
  </si>
  <si>
    <t>MoisAjoute = Table.AddColumn(DateAjoutee, "Mois", each Date.ToText([Date], "yyyy-MM"), type text),</t>
  </si>
  <si>
    <t>SemaineAjoutee = Table.AddColumn(MoisAjoute, "Semaine", each Text.From(Date.Year([Date])) &amp; "-S" &amp; Text.PadStart(Text.From(Date.WeekOfYear([Date], Day.Monday)), 2, "0"), type text),</t>
  </si>
  <si>
    <t>Compteur = Table.AddColumn(SemaineAjoutee, "Nombre de dossiers traités", each 1, Int64.Type),</t>
  </si>
  <si>
    <t>Renommage = Table.RenameColumns(Compteur, {{"Activite", "Activité"}, {"NumeroDossier", "Dossier"}, {"Decision", "Décision"}, {"TypeDossier", "Type dossier"}, {"DateTime", "Date/heure"}}),</t>
  </si>
  <si>
    <t>Selection = Table.SelectColumns(Renommage, {"Mois", "Semaine", "Date", "Site", "Collaborateur", "Activité", "Produit", "Dossier", "Décision", "Commentaire", "Dispo", "Nombre de dossiers traités", "PersoID", "Type dossier", "Date/heure"})</t>
  </si>
  <si>
    <t>in</t>
  </si>
  <si>
    <t>Selection</t>
  </si>
  <si>
    <t>qStatistique</t>
  </si>
  <si>
    <t>Source = qDataBrut,</t>
  </si>
  <si>
    <t>Resultat = Table.Group(Source, {"Mois", "Semaine", "Site", "Date", "Activité", "Produit", "Dispo"}, {{"Nombre de dossiers traités", each List.Sum([Nombre de dossiers traités]), Int64.Type}})</t>
  </si>
  <si>
    <t>Resultat</t>
  </si>
  <si>
    <t>qStatAgent</t>
  </si>
  <si>
    <t>Resultat = Table.Group(Source, {"Mois", "Semaine", "Site", "Collaborateur", "Date", "Activité", "Produit", "Dispo"}, {{"Nombre de dossiers traités", each List.Sum([Nombre de dossiers traités]), Int64.Type}})</t>
  </si>
  <si>
    <t>Sources visuelles</t>
  </si>
  <si>
    <t>https://www.floabank.fr/ · https://www.brandcolorcode.com/floa-bank</t>
  </si>
  <si>
    <t>SOURCE · EXEMPLE</t>
  </si>
  <si>
    <t>Échantillon fourni dans le fichier d'origine · les CSV de production sont combinés par Power Query</t>
  </si>
  <si>
    <t>NumeroDossier</t>
  </si>
  <si>
    <t>DateTime</t>
  </si>
  <si>
    <t>Activite</t>
  </si>
  <si>
    <t>TypeDossier</t>
  </si>
  <si>
    <t>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</si>
</sst>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13">
    <font>
      <sz val="11"/>
      <name val="Carlito"/>
    </font>
    <font>
      <b/>
      <sz val="11"/>
      <color rgb="FFFFFFFF"/>
      <name val="Carlito"/>
    </font>
    <font>
      <sz val="11"/>
      <color rgb="FFFFFFFF"/>
      <name val="Carlito"/>
    </font>
    <font>
      <i/>
      <sz val="11"/>
      <color rgb="FF073B5C"/>
      <name val="Carlito"/>
    </font>
    <font>
      <sz val="11"/>
      <color rgb="FF16384C"/>
      <name val="Carlito"/>
    </font>
    <font>
      <b/>
      <sz val="11"/>
      <color rgb="FF073B5C"/>
      <name val="Carlito"/>
    </font>
    <font>
      <b/>
      <sz val="11"/>
      <color rgb="FF009FFF"/>
      <name val="Carlito"/>
    </font>
    <font>
      <b/>
      <sz val="11"/>
      <color rgb="FF67D6D0"/>
      <name val="Carlito"/>
    </font>
    <font>
      <b/>
      <sz val="11"/>
      <color rgb="FFC43D4A"/>
      <name val="Carlito"/>
    </font>
    <font>
      <b/>
      <sz val="11"/>
      <color rgb="FF16384C"/>
      <name val="Carlito"/>
    </font>
    <font>
      <sz val="11"/>
      <color rgb="FF073B5C"/>
      <name val="Carlito"/>
    </font>
    <font>
      <b/>
      <i/>
      <sz val="11"/>
      <color rgb="FF073B5C"/>
      <name val="Carlito"/>
    </font>
    <font>
      <i/>
      <sz val="11"/>
      <color rgb="FF16384C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09FFF"/>
      </patternFill>
    </fill>
    <fill>
      <patternFill patternType="solid">
        <fgColor rgb="FF073B5C"/>
      </patternFill>
    </fill>
    <fill>
      <patternFill patternType="solid">
        <fgColor rgb="FFEAF7FF"/>
      </patternFill>
    </fill>
    <fill>
      <patternFill patternType="solid">
        <fgColor rgb="FFFFFFFF"/>
      </patternFill>
    </fill>
    <fill>
      <patternFill patternType="solid">
        <fgColor rgb="FFF5FBFF"/>
      </patternFill>
    </fill>
  </fills>
  <borders count="48">
    <border>
      <left/>
      <right/>
      <top/>
      <bottom/>
      <diagonal/>
    </border>
    <border>
      <left style="thin">
        <color rgb="FF009FFF"/>
      </left>
      <right/>
      <top style="thin">
        <color rgb="FF009FFF"/>
      </top>
      <bottom style="thin">
        <color rgb="FF009FFF"/>
      </bottom>
      <diagonal/>
    </border>
    <border>
      <left/>
      <right/>
      <top style="thin">
        <color rgb="FF009FFF"/>
      </top>
      <bottom style="thin">
        <color rgb="FF009FFF"/>
      </bottom>
      <diagonal/>
    </border>
    <border>
      <left/>
      <right style="thin">
        <color rgb="FF009FFF"/>
      </right>
      <top style="thin">
        <color rgb="FF009FFF"/>
      </top>
      <bottom style="thin">
        <color rgb="FF009FFF"/>
      </bottom>
      <diagonal/>
    </border>
    <border>
      <left style="thin">
        <color rgb="FF009FFF"/>
      </left>
      <right style="thin">
        <color rgb="FF009FFF"/>
      </right>
      <top style="thin">
        <color rgb="FF009FFF"/>
      </top>
      <bottom/>
      <diagonal/>
    </border>
    <border>
      <left style="thin">
        <color rgb="FF009FFF"/>
      </left>
      <right style="thin">
        <color rgb="FF009FFF"/>
      </right>
      <top/>
      <bottom/>
      <diagonal/>
    </border>
    <border>
      <left style="thin">
        <color rgb="FF009FFF"/>
      </left>
      <right style="thin">
        <color rgb="FF009FFF"/>
      </right>
      <top/>
      <bottom style="thin">
        <color rgb="FF009FFF"/>
      </bottom>
      <diagonal/>
    </border>
    <border>
      <left style="thin">
        <color rgb="FFD5E5EE"/>
      </left>
      <right/>
      <top style="thin">
        <color rgb="FFD5E5EE"/>
      </top>
      <bottom style="thin">
        <color rgb="FFD5E5EE"/>
      </bottom>
      <diagonal/>
    </border>
    <border>
      <left/>
      <right/>
      <top style="thin">
        <color rgb="FFD5E5EE"/>
      </top>
      <bottom style="thin">
        <color rgb="FFD5E5EE"/>
      </bottom>
      <diagonal/>
    </border>
    <border>
      <left/>
      <right style="thin">
        <color rgb="FFD5E5EE"/>
      </right>
      <top style="thin">
        <color rgb="FFD5E5EE"/>
      </top>
      <bottom style="thin">
        <color rgb="FFD5E5EE"/>
      </bottom>
      <diagonal/>
    </border>
    <border>
      <left style="medium">
        <color rgb="FF009FFF"/>
      </left>
      <right/>
      <top style="medium">
        <color rgb="FF009FFF"/>
      </top>
      <bottom/>
      <diagonal/>
    </border>
    <border>
      <left/>
      <right/>
      <top style="medium">
        <color rgb="FF009FFF"/>
      </top>
      <bottom/>
      <diagonal/>
    </border>
    <border>
      <left/>
      <right style="medium">
        <color rgb="FF009FFF"/>
      </right>
      <top style="medium">
        <color rgb="FF009FFF"/>
      </top>
      <bottom/>
      <diagonal/>
    </border>
    <border>
      <left style="medium">
        <color rgb="FF009FFF"/>
      </left>
      <right/>
      <top/>
      <bottom style="medium">
        <color rgb="FF009FFF"/>
      </bottom>
      <diagonal/>
    </border>
    <border>
      <left/>
      <right/>
      <top/>
      <bottom style="medium">
        <color rgb="FF009FFF"/>
      </bottom>
      <diagonal/>
    </border>
    <border>
      <left/>
      <right style="medium">
        <color rgb="FF009FFF"/>
      </right>
      <top/>
      <bottom style="medium">
        <color rgb="FF009FFF"/>
      </bottom>
      <diagonal/>
    </border>
    <border>
      <left style="medium">
        <color rgb="FF073B5C"/>
      </left>
      <right/>
      <top style="medium">
        <color rgb="FF073B5C"/>
      </top>
      <bottom/>
      <diagonal/>
    </border>
    <border>
      <left/>
      <right/>
      <top style="medium">
        <color rgb="FF073B5C"/>
      </top>
      <bottom/>
      <diagonal/>
    </border>
    <border>
      <left/>
      <right style="medium">
        <color rgb="FF073B5C"/>
      </right>
      <top style="medium">
        <color rgb="FF073B5C"/>
      </top>
      <bottom/>
      <diagonal/>
    </border>
    <border>
      <left style="medium">
        <color rgb="FF073B5C"/>
      </left>
      <right/>
      <top/>
      <bottom style="medium">
        <color rgb="FF073B5C"/>
      </bottom>
      <diagonal/>
    </border>
    <border>
      <left/>
      <right/>
      <top/>
      <bottom style="medium">
        <color rgb="FF073B5C"/>
      </bottom>
      <diagonal/>
    </border>
    <border>
      <left/>
      <right style="medium">
        <color rgb="FF073B5C"/>
      </right>
      <top/>
      <bottom style="medium">
        <color rgb="FF073B5C"/>
      </bottom>
      <diagonal/>
    </border>
    <border>
      <left style="medium">
        <color rgb="FF67D6D0"/>
      </left>
      <right/>
      <top style="medium">
        <color rgb="FF67D6D0"/>
      </top>
      <bottom/>
      <diagonal/>
    </border>
    <border>
      <left/>
      <right/>
      <top style="medium">
        <color rgb="FF67D6D0"/>
      </top>
      <bottom/>
      <diagonal/>
    </border>
    <border>
      <left/>
      <right style="medium">
        <color rgb="FF67D6D0"/>
      </right>
      <top style="medium">
        <color rgb="FF67D6D0"/>
      </top>
      <bottom/>
      <diagonal/>
    </border>
    <border>
      <left style="medium">
        <color rgb="FF67D6D0"/>
      </left>
      <right/>
      <top/>
      <bottom style="medium">
        <color rgb="FF67D6D0"/>
      </bottom>
      <diagonal/>
    </border>
    <border>
      <left/>
      <right/>
      <top/>
      <bottom style="medium">
        <color rgb="FF67D6D0"/>
      </bottom>
      <diagonal/>
    </border>
    <border>
      <left/>
      <right style="medium">
        <color rgb="FF67D6D0"/>
      </right>
      <top/>
      <bottom style="medium">
        <color rgb="FF67D6D0"/>
      </bottom>
      <diagonal/>
    </border>
    <border>
      <left style="medium">
        <color rgb="FFC43D4A"/>
      </left>
      <right/>
      <top style="medium">
        <color rgb="FFC43D4A"/>
      </top>
      <bottom/>
      <diagonal/>
    </border>
    <border>
      <left/>
      <right/>
      <top style="medium">
        <color rgb="FFC43D4A"/>
      </top>
      <bottom/>
      <diagonal/>
    </border>
    <border>
      <left/>
      <right style="medium">
        <color rgb="FFC43D4A"/>
      </right>
      <top style="medium">
        <color rgb="FFC43D4A"/>
      </top>
      <bottom/>
      <diagonal/>
    </border>
    <border>
      <left style="medium">
        <color rgb="FFC43D4A"/>
      </left>
      <right/>
      <top/>
      <bottom style="medium">
        <color rgb="FFC43D4A"/>
      </bottom>
      <diagonal/>
    </border>
    <border>
      <left/>
      <right/>
      <top/>
      <bottom style="medium">
        <color rgb="FFC43D4A"/>
      </bottom>
      <diagonal/>
    </border>
    <border>
      <left/>
      <right style="medium">
        <color rgb="FFC43D4A"/>
      </right>
      <top/>
      <bottom style="medium">
        <color rgb="FFC43D4A"/>
      </bottom>
      <diagonal/>
    </border>
    <border>
      <left style="thin">
        <color rgb="FFD5E5EE"/>
      </left>
      <right/>
      <top style="thin">
        <color rgb="FFD5E5EE"/>
      </top>
      <bottom/>
      <diagonal/>
    </border>
    <border>
      <left/>
      <right/>
      <top style="thin">
        <color rgb="FFD5E5EE"/>
      </top>
      <bottom/>
      <diagonal/>
    </border>
    <border>
      <left/>
      <right style="thin">
        <color rgb="FFD5E5EE"/>
      </right>
      <top style="thin">
        <color rgb="FFD5E5EE"/>
      </top>
      <bottom/>
      <diagonal/>
    </border>
    <border>
      <left style="thin">
        <color rgb="FFD5E5EE"/>
      </left>
      <right/>
      <top/>
      <bottom style="thin">
        <color rgb="FFD5E5EE"/>
      </bottom>
      <diagonal/>
    </border>
    <border>
      <left/>
      <right/>
      <top/>
      <bottom style="thin">
        <color rgb="FFD5E5EE"/>
      </bottom>
      <diagonal/>
    </border>
    <border>
      <left/>
      <right style="thin">
        <color rgb="FFD5E5EE"/>
      </right>
      <top/>
      <bottom style="thin">
        <color rgb="FFD5E5EE"/>
      </bottom>
      <diagonal/>
    </border>
    <border>
      <left style="thin">
        <color rgb="FF009FFF"/>
      </left>
      <right style="thin">
        <color rgb="FFD5E5EE"/>
      </right>
      <top style="thin">
        <color rgb="FF009FFF"/>
      </top>
      <bottom style="thin">
        <color rgb="FFD5E5EE"/>
      </bottom>
      <diagonal/>
    </border>
    <border>
      <left style="thin">
        <color rgb="FFD5E5EE"/>
      </left>
      <right/>
      <top style="thin">
        <color rgb="FF009FFF"/>
      </top>
      <bottom style="thin">
        <color rgb="FFD5E5EE"/>
      </bottom>
      <diagonal/>
    </border>
    <border>
      <left style="thin">
        <color rgb="FF009FFF"/>
      </left>
      <right style="thin">
        <color rgb="FFD5E5EE"/>
      </right>
      <top style="thin">
        <color rgb="FFD5E5EE"/>
      </top>
      <bottom style="thin">
        <color rgb="FFD5E5EE"/>
      </bottom>
      <diagonal/>
    </border>
    <border>
      <left style="thin">
        <color rgb="FF009FFF"/>
      </left>
      <right style="thin">
        <color rgb="FFD5E5EE"/>
      </right>
      <top style="thin">
        <color rgb="FFD5E5EE"/>
      </top>
      <bottom style="thin">
        <color rgb="FF009FFF"/>
      </bottom>
      <diagonal/>
    </border>
    <border>
      <left style="thin">
        <color rgb="FFD5E5EE"/>
      </left>
      <right/>
      <top style="thin">
        <color rgb="FFD5E5EE"/>
      </top>
      <bottom style="thin">
        <color rgb="FF009FFF"/>
      </bottom>
      <diagonal/>
    </border>
    <border>
      <left style="thin">
        <color rgb="FFD5E5EE"/>
      </left>
      <right style="thin">
        <color rgb="FFD5E5EE"/>
      </right>
      <top style="thin">
        <color rgb="FFD5E5EE"/>
      </top>
      <bottom/>
      <diagonal/>
    </border>
    <border>
      <left style="thin">
        <color rgb="FFD5E5EE"/>
      </left>
      <right style="thin">
        <color rgb="FFD5E5EE"/>
      </right>
      <top/>
      <bottom/>
      <diagonal/>
    </border>
    <border>
      <left style="thin">
        <color rgb="FFD5E5EE"/>
      </left>
      <right style="thin">
        <color rgb="FFD5E5EE"/>
      </right>
      <top/>
      <bottom style="thin">
        <color rgb="FFD5E5EE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3" fontId="0" fillId="0" borderId="0" xfId="0" applyNumberFormat="1" applyFont="1" applyFill="1" applyBorder="1"/>
    <xf numFmtId="0" fontId="4" fillId="0" borderId="0" xfId="0" applyNumberFormat="1" applyFont="1" applyFill="1" applyBorder="1"/>
    <xf numFmtId="164" fontId="4" fillId="0" borderId="0" xfId="0" applyNumberFormat="1" applyFont="1" applyFill="1" applyBorder="1"/>
    <xf numFmtId="3" fontId="4" fillId="0" borderId="0" xfId="0" applyNumberFormat="1" applyFont="1" applyFill="1" applyBorder="1"/>
    <xf numFmtId="165" fontId="4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wrapText="1"/>
    </xf>
    <xf numFmtId="0" fontId="5" fillId="4" borderId="4" xfId="0" applyNumberFormat="1" applyFont="1" applyFill="1" applyBorder="1" applyAlignment="1">
      <alignment wrapText="1"/>
    </xf>
    <xf numFmtId="0" fontId="5" fillId="4" borderId="5" xfId="0" applyNumberFormat="1" applyFont="1" applyFill="1" applyBorder="1" applyAlignment="1">
      <alignment wrapText="1"/>
    </xf>
    <xf numFmtId="0" fontId="5" fillId="4" borderId="6" xfId="0" applyNumberFormat="1" applyFont="1" applyFill="1" applyBorder="1" applyAlignment="1">
      <alignment wrapText="1"/>
    </xf>
    <xf numFmtId="0" fontId="1" fillId="2" borderId="40" xfId="0" applyNumberFormat="1" applyFont="1" applyFill="1" applyBorder="1" applyAlignment="1">
      <alignment horizontal="center" vertical="center" wrapText="1"/>
    </xf>
    <xf numFmtId="0" fontId="1" fillId="2" borderId="41" xfId="0" applyNumberFormat="1" applyFont="1" applyFill="1" applyBorder="1" applyAlignment="1">
      <alignment horizontal="center" vertical="center" wrapText="1"/>
    </xf>
    <xf numFmtId="0" fontId="0" fillId="0" borderId="42" xfId="0" applyNumberFormat="1" applyFont="1" applyFill="1" applyBorder="1"/>
    <xf numFmtId="0" fontId="1" fillId="2" borderId="42" xfId="0" applyNumberFormat="1" applyFont="1" applyFill="1" applyBorder="1" applyAlignment="1">
      <alignment horizontal="center" vertical="center" wrapText="1"/>
    </xf>
    <xf numFmtId="0" fontId="0" fillId="0" borderId="43" xfId="0" applyNumberFormat="1" applyFont="1" applyFill="1" applyBorder="1"/>
    <xf numFmtId="3" fontId="0" fillId="0" borderId="7" xfId="0" applyNumberFormat="1" applyFont="1" applyFill="1" applyBorder="1"/>
    <xf numFmtId="3" fontId="1" fillId="2" borderId="7" xfId="0" applyNumberFormat="1" applyFont="1" applyFill="1" applyBorder="1" applyAlignment="1">
      <alignment horizontal="center" vertical="center" wrapText="1"/>
    </xf>
    <xf numFmtId="3" fontId="0" fillId="0" borderId="44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10" fillId="4" borderId="45" xfId="0" applyNumberFormat="1" applyFont="1" applyFill="1" applyBorder="1" applyAlignment="1">
      <alignment vertical="center" wrapText="1"/>
    </xf>
    <xf numFmtId="0" fontId="10" fillId="4" borderId="46" xfId="0" applyNumberFormat="1" applyFont="1" applyFill="1" applyBorder="1" applyAlignment="1">
      <alignment vertical="center" wrapText="1"/>
    </xf>
    <xf numFmtId="0" fontId="10" fillId="4" borderId="47" xfId="0" applyNumberFormat="1" applyFont="1" applyFill="1" applyBorder="1" applyAlignment="1">
      <alignment vertical="center" wrapText="1"/>
    </xf>
    <xf numFmtId="0" fontId="5" fillId="4" borderId="0" xfId="0" applyNumberFormat="1" applyFont="1" applyFill="1" applyBorder="1" applyAlignment="1">
      <alignment vertical="top"/>
    </xf>
    <xf numFmtId="0" fontId="11" fillId="4" borderId="0" xfId="0" applyNumberFormat="1" applyFont="1" applyFill="1" applyBorder="1" applyAlignment="1">
      <alignment vertical="top" wrapText="1"/>
    </xf>
    <xf numFmtId="0" fontId="4" fillId="6" borderId="0" xfId="0" applyNumberFormat="1" applyFont="1" applyFill="1" applyBorder="1" applyAlignment="1">
      <alignment vertical="top"/>
    </xf>
    <xf numFmtId="0" fontId="12" fillId="6" borderId="0" xfId="0" applyNumberFormat="1" applyFont="1" applyFill="1" applyBorder="1" applyAlignment="1">
      <alignment vertical="top"/>
    </xf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left" vertical="center"/>
    </xf>
    <xf numFmtId="0" fontId="5" fillId="4" borderId="7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5" fillId="4" borderId="9" xfId="0" applyNumberFormat="1" applyFont="1" applyFill="1" applyBorder="1" applyAlignment="1">
      <alignment horizontal="center" vertical="center"/>
    </xf>
    <xf numFmtId="3" fontId="6" fillId="5" borderId="10" xfId="0" applyNumberFormat="1" applyFont="1" applyFill="1" applyBorder="1" applyAlignment="1">
      <alignment horizontal="center" vertical="center"/>
    </xf>
    <xf numFmtId="3" fontId="6" fillId="5" borderId="11" xfId="0" applyNumberFormat="1" applyFont="1" applyFill="1" applyBorder="1" applyAlignment="1">
      <alignment horizontal="center" vertical="center"/>
    </xf>
    <xf numFmtId="3" fontId="6" fillId="5" borderId="12" xfId="0" applyNumberFormat="1" applyFont="1" applyFill="1" applyBorder="1" applyAlignment="1">
      <alignment horizontal="center" vertical="center"/>
    </xf>
    <xf numFmtId="3" fontId="6" fillId="5" borderId="13" xfId="0" applyNumberFormat="1" applyFont="1" applyFill="1" applyBorder="1" applyAlignment="1">
      <alignment horizontal="center" vertical="center"/>
    </xf>
    <xf numFmtId="3" fontId="6" fillId="5" borderId="14" xfId="0" applyNumberFormat="1" applyFont="1" applyFill="1" applyBorder="1" applyAlignment="1">
      <alignment horizontal="center" vertical="center"/>
    </xf>
    <xf numFmtId="3" fontId="6" fillId="5" borderId="15" xfId="0" applyNumberFormat="1" applyFont="1" applyFill="1" applyBorder="1" applyAlignment="1">
      <alignment horizontal="center" vertical="center"/>
    </xf>
    <xf numFmtId="3" fontId="5" fillId="5" borderId="16" xfId="0" applyNumberFormat="1" applyFont="1" applyFill="1" applyBorder="1" applyAlignment="1">
      <alignment horizontal="center" vertical="center"/>
    </xf>
    <xf numFmtId="3" fontId="5" fillId="5" borderId="17" xfId="0" applyNumberFormat="1" applyFont="1" applyFill="1" applyBorder="1" applyAlignment="1">
      <alignment horizontal="center" vertical="center"/>
    </xf>
    <xf numFmtId="3" fontId="5" fillId="5" borderId="18" xfId="0" applyNumberFormat="1" applyFont="1" applyFill="1" applyBorder="1" applyAlignment="1">
      <alignment horizontal="center" vertical="center"/>
    </xf>
    <xf numFmtId="3" fontId="5" fillId="5" borderId="19" xfId="0" applyNumberFormat="1" applyFont="1" applyFill="1" applyBorder="1" applyAlignment="1">
      <alignment horizontal="center" vertical="center"/>
    </xf>
    <xf numFmtId="3" fontId="5" fillId="5" borderId="20" xfId="0" applyNumberFormat="1" applyFont="1" applyFill="1" applyBorder="1" applyAlignment="1">
      <alignment horizontal="center" vertical="center"/>
    </xf>
    <xf numFmtId="3" fontId="5" fillId="5" borderId="21" xfId="0" applyNumberFormat="1" applyFont="1" applyFill="1" applyBorder="1" applyAlignment="1">
      <alignment horizontal="center" vertical="center"/>
    </xf>
    <xf numFmtId="3" fontId="7" fillId="5" borderId="22" xfId="0" applyNumberFormat="1" applyFont="1" applyFill="1" applyBorder="1" applyAlignment="1">
      <alignment horizontal="center" vertical="center"/>
    </xf>
    <xf numFmtId="3" fontId="7" fillId="5" borderId="23" xfId="0" applyNumberFormat="1" applyFont="1" applyFill="1" applyBorder="1" applyAlignment="1">
      <alignment horizontal="center" vertical="center"/>
    </xf>
    <xf numFmtId="3" fontId="7" fillId="5" borderId="24" xfId="0" applyNumberFormat="1" applyFont="1" applyFill="1" applyBorder="1" applyAlignment="1">
      <alignment horizontal="center" vertical="center"/>
    </xf>
    <xf numFmtId="3" fontId="7" fillId="5" borderId="25" xfId="0" applyNumberFormat="1" applyFont="1" applyFill="1" applyBorder="1" applyAlignment="1">
      <alignment horizontal="center" vertical="center"/>
    </xf>
    <xf numFmtId="3" fontId="7" fillId="5" borderId="26" xfId="0" applyNumberFormat="1" applyFont="1" applyFill="1" applyBorder="1" applyAlignment="1">
      <alignment horizontal="center" vertical="center"/>
    </xf>
    <xf numFmtId="3" fontId="7" fillId="5" borderId="27" xfId="0" applyNumberFormat="1" applyFont="1" applyFill="1" applyBorder="1" applyAlignment="1">
      <alignment horizontal="center" vertical="center"/>
    </xf>
    <xf numFmtId="3" fontId="8" fillId="5" borderId="28" xfId="0" applyNumberFormat="1" applyFont="1" applyFill="1" applyBorder="1" applyAlignment="1">
      <alignment horizontal="center" vertical="center"/>
    </xf>
    <xf numFmtId="3" fontId="8" fillId="5" borderId="29" xfId="0" applyNumberFormat="1" applyFont="1" applyFill="1" applyBorder="1" applyAlignment="1">
      <alignment horizontal="center" vertical="center"/>
    </xf>
    <xf numFmtId="3" fontId="8" fillId="5" borderId="30" xfId="0" applyNumberFormat="1" applyFont="1" applyFill="1" applyBorder="1" applyAlignment="1">
      <alignment horizontal="center" vertical="center"/>
    </xf>
    <xf numFmtId="3" fontId="8" fillId="5" borderId="31" xfId="0" applyNumberFormat="1" applyFont="1" applyFill="1" applyBorder="1" applyAlignment="1">
      <alignment horizontal="center" vertical="center"/>
    </xf>
    <xf numFmtId="3" fontId="8" fillId="5" borderId="32" xfId="0" applyNumberFormat="1" applyFont="1" applyFill="1" applyBorder="1" applyAlignment="1">
      <alignment horizontal="center" vertical="center"/>
    </xf>
    <xf numFmtId="3" fontId="8" fillId="5" borderId="33" xfId="0" applyNumberFormat="1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vertical="center"/>
    </xf>
    <xf numFmtId="0" fontId="9" fillId="5" borderId="1" xfId="0" applyNumberFormat="1" applyFont="1" applyFill="1" applyBorder="1" applyAlignment="1">
      <alignment horizontal="center" vertical="center"/>
    </xf>
    <xf numFmtId="0" fontId="9" fillId="5" borderId="3" xfId="0" applyNumberFormat="1" applyFont="1" applyFill="1" applyBorder="1" applyAlignment="1">
      <alignment horizontal="center" vertical="center"/>
    </xf>
    <xf numFmtId="0" fontId="1" fillId="3" borderId="42" xfId="0" applyNumberFormat="1" applyFont="1" applyFill="1" applyBorder="1" applyAlignment="1">
      <alignment vertical="center"/>
    </xf>
    <xf numFmtId="3" fontId="1" fillId="3" borderId="7" xfId="0" applyNumberFormat="1" applyFont="1" applyFill="1" applyBorder="1" applyAlignment="1">
      <alignment vertical="center"/>
    </xf>
    <xf numFmtId="0" fontId="5" fillId="4" borderId="42" xfId="0" applyNumberFormat="1" applyFont="1" applyFill="1" applyBorder="1" applyAlignment="1">
      <alignment horizontal="center" vertical="center"/>
    </xf>
    <xf numFmtId="3" fontId="5" fillId="4" borderId="7" xfId="0" applyNumberFormat="1" applyFont="1" applyFill="1" applyBorder="1" applyAlignment="1">
      <alignment horizontal="center" vertical="center"/>
    </xf>
    <xf numFmtId="0" fontId="9" fillId="5" borderId="42" xfId="0" applyNumberFormat="1" applyFont="1" applyFill="1" applyBorder="1" applyAlignment="1">
      <alignment horizontal="center" vertical="center"/>
    </xf>
    <xf numFmtId="3" fontId="9" fillId="5" borderId="7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64" fontId="9" fillId="5" borderId="3" xfId="0" applyNumberFormat="1" applyFont="1" applyFill="1" applyBorder="1" applyAlignment="1">
      <alignment horizontal="center" vertical="center"/>
    </xf>
    <xf numFmtId="0" fontId="3" fillId="4" borderId="34" xfId="0" applyNumberFormat="1" applyFont="1" applyFill="1" applyBorder="1" applyAlignment="1">
      <alignment vertical="center" wrapText="1"/>
    </xf>
    <xf numFmtId="0" fontId="3" fillId="4" borderId="35" xfId="0" applyNumberFormat="1" applyFont="1" applyFill="1" applyBorder="1" applyAlignment="1">
      <alignment vertical="center" wrapText="1"/>
    </xf>
    <xf numFmtId="0" fontId="3" fillId="4" borderId="36" xfId="0" applyNumberFormat="1" applyFont="1" applyFill="1" applyBorder="1" applyAlignment="1">
      <alignment vertical="center" wrapText="1"/>
    </xf>
    <xf numFmtId="0" fontId="3" fillId="4" borderId="37" xfId="0" applyNumberFormat="1" applyFont="1" applyFill="1" applyBorder="1" applyAlignment="1">
      <alignment vertical="center" wrapText="1"/>
    </xf>
    <xf numFmtId="0" fontId="3" fillId="4" borderId="38" xfId="0" applyNumberFormat="1" applyFont="1" applyFill="1" applyBorder="1" applyAlignment="1">
      <alignment vertical="center" wrapText="1"/>
    </xf>
    <xf numFmtId="0" fontId="3" fillId="4" borderId="39" xfId="0" applyNumberFormat="1" applyFont="1" applyFill="1" applyBorder="1" applyAlignment="1">
      <alignment vertical="center" wrapText="1"/>
    </xf>
    <xf numFmtId="0" fontId="3" fillId="4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1">
    <dxf>
      <font>
        <b/>
        <color rgb="FFC43D4A"/>
      </font>
      <fill>
        <patternFill patternType="solid">
          <bgColor rgb="FFFDECE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 sz="900"/>
              <a:t>Dossiers traités par activité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Dossiers traités</c:v>
          </c:tx>
          <c:spPr>
            <a:solidFill>
              <a:srgbClr val="009FFF"/>
            </a:solidFill>
          </c:spPr>
          <c:invertIfNegative val="1"/>
          <c:cat>
            <c:strRef>
              <c:f>'Suivi traitement'!$A$15:$A$25</c:f>
              <c:strCache>
                <c:ptCount val="2"/>
                <c:pt idx="0">
                  <c:v>#NOM?</c:v>
                </c:pt>
                <c:pt idx="1">
                  <c:v>#NOM?</c:v>
                </c:pt>
              </c:strCache>
            </c:strRef>
          </c:cat>
          <c:val>
            <c:numRef>
              <c:f>'Suivi traitement'!$B$15:$B$25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4F05-45F5-8FF8-080D2AB37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 sz="900"/>
              <a:t>Dossiers traités par produit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Dossiers traités</c:v>
          </c:tx>
          <c:spPr>
            <a:solidFill>
              <a:srgbClr val="67D6D0"/>
            </a:solidFill>
          </c:spPr>
          <c:invertIfNegative val="1"/>
          <c:cat>
            <c:strRef>
              <c:f>'Suivi traitement'!$A$34:$A$45</c:f>
              <c:strCache>
                <c:ptCount val="3"/>
                <c:pt idx="0">
                  <c:v>#NOM?</c:v>
                </c:pt>
                <c:pt idx="1">
                  <c:v>#NOM?</c:v>
                </c:pt>
                <c:pt idx="2">
                  <c:v>#NOM?</c:v>
                </c:pt>
              </c:strCache>
            </c:strRef>
          </c:cat>
          <c:val>
            <c:numRef>
              <c:f>'Suivi traitement'!$B$34:$B$45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1E6F-49E0-B848-E37F4D05D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 sz="900"/>
              <a:t>Dossiers traités par site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Dossiers traités</c:v>
          </c:tx>
          <c:spPr>
            <a:solidFill>
              <a:srgbClr val="BCEB54"/>
            </a:solidFill>
          </c:spPr>
          <c:invertIfNegative val="1"/>
          <c:cat>
            <c:strRef>
              <c:f>'Suivi traitement'!$A$53:$A$63</c:f>
              <c:strCache>
                <c:ptCount val="1"/>
                <c:pt idx="0">
                  <c:v>#NOM?</c:v>
                </c:pt>
              </c:strCache>
            </c:strRef>
          </c:cat>
          <c:val>
            <c:numRef>
              <c:f>'Suivi traitement'!$B$53:$B$63</c:f>
              <c:numCache>
                <c:formatCode>#,##0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70F-49C6-9EE3-910AE0CE2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15</xdr:col>
      <xdr:colOff>0</xdr:colOff>
      <xdr:row>27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32</xdr:row>
      <xdr:rowOff>0</xdr:rowOff>
    </xdr:from>
    <xdr:to>
      <xdr:col>15</xdr:col>
      <xdr:colOff>0</xdr:colOff>
      <xdr:row>46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51</xdr:row>
      <xdr:rowOff>0</xdr:rowOff>
    </xdr:from>
    <xdr:to>
      <xdr:col>15</xdr:col>
      <xdr:colOff>0</xdr:colOff>
      <xdr:row>65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Statistique" displayName="tblStatistique" ref="A6:H10" totalsRowShown="0">
  <tableColumns count="8">
    <tableColumn id="1" xr3:uid="{00000000-0010-0000-0000-000001000000}" name="Mois"/>
    <tableColumn id="2" xr3:uid="{00000000-0010-0000-0000-000002000000}" name="Semaine"/>
    <tableColumn id="3" xr3:uid="{00000000-0010-0000-0000-000003000000}" name="Site"/>
    <tableColumn id="4" xr3:uid="{00000000-0010-0000-0000-000004000000}" name="Date"/>
    <tableColumn id="5" xr3:uid="{00000000-0010-0000-0000-000005000000}" name="Activité"/>
    <tableColumn id="6" xr3:uid="{00000000-0010-0000-0000-000006000000}" name="Produit"/>
    <tableColumn id="7" xr3:uid="{00000000-0010-0000-0000-000007000000}" name="Dispo"/>
    <tableColumn id="8" xr3:uid="{00000000-0010-0000-0000-000008000000}" name="Nombre de dossiers traité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blStatAgent" displayName="tblStatAgent" ref="A6:I10" totalsRowShown="0">
  <tableColumns count="9">
    <tableColumn id="1" xr3:uid="{00000000-0010-0000-0100-000001000000}" name="Mois"/>
    <tableColumn id="2" xr3:uid="{00000000-0010-0000-0100-000002000000}" name="Semaine"/>
    <tableColumn id="3" xr3:uid="{00000000-0010-0000-0100-000003000000}" name="Site"/>
    <tableColumn id="4" xr3:uid="{00000000-0010-0000-0100-000004000000}" name="Collaborateur"/>
    <tableColumn id="5" xr3:uid="{00000000-0010-0000-0100-000005000000}" name="Date"/>
    <tableColumn id="6" xr3:uid="{00000000-0010-0000-0100-000006000000}" name="Activité"/>
    <tableColumn id="7" xr3:uid="{00000000-0010-0000-0100-000007000000}" name="Produit"/>
    <tableColumn id="8" xr3:uid="{00000000-0010-0000-0100-000008000000}" name="Dispo"/>
    <tableColumn id="9" xr3:uid="{00000000-0010-0000-0100-000009000000}" name="Nombre de dossiers traité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DataBrut" displayName="tblDataBrut" ref="A6:O13" totalsRowShown="0">
  <autoFilter ref="A6:O13" xr:uid="{00000000-0009-0000-0100-000001000000}"/>
  <tableColumns count="15">
    <tableColumn id="1" xr3:uid="{00000000-0010-0000-0200-000001000000}" name="Mois"/>
    <tableColumn id="2" xr3:uid="{00000000-0010-0000-0200-000002000000}" name="Semaine"/>
    <tableColumn id="3" xr3:uid="{00000000-0010-0000-0200-000003000000}" name="Date"/>
    <tableColumn id="4" xr3:uid="{00000000-0010-0000-0200-000004000000}" name="Site"/>
    <tableColumn id="5" xr3:uid="{00000000-0010-0000-0200-000005000000}" name="Collaborateur"/>
    <tableColumn id="6" xr3:uid="{00000000-0010-0000-0200-000006000000}" name="Activité"/>
    <tableColumn id="7" xr3:uid="{00000000-0010-0000-0200-000007000000}" name="Produit"/>
    <tableColumn id="8" xr3:uid="{00000000-0010-0000-0200-000008000000}" name="Dossier"/>
    <tableColumn id="9" xr3:uid="{00000000-0010-0000-0200-000009000000}" name="Décision"/>
    <tableColumn id="10" xr3:uid="{00000000-0010-0000-0200-00000A000000}" name="Commentaire"/>
    <tableColumn id="11" xr3:uid="{00000000-0010-0000-0200-00000B000000}" name="Dispo"/>
    <tableColumn id="12" xr3:uid="{00000000-0010-0000-0200-00000C000000}" name="Nombre de dossiers traités"/>
    <tableColumn id="13" xr3:uid="{00000000-0010-0000-0200-00000D000000}" name="PersoID"/>
    <tableColumn id="14" xr3:uid="{00000000-0010-0000-0200-00000E000000}" name="Type dossier"/>
    <tableColumn id="15" xr3:uid="{00000000-0010-0000-0200-00000F000000}" name="Date/heu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Parametres" displayName="tblParametres" ref="A5:C9" totalsRowShown="0">
  <tableColumns count="3">
    <tableColumn id="1" xr3:uid="{00000000-0010-0000-0300-000001000000}" name="Paramètre"/>
    <tableColumn id="2" xr3:uid="{00000000-0010-0000-0300-000002000000}" name="Valeur"/>
    <tableColumn id="3" xr3:uid="{00000000-0010-0000-0300-000003000000}" name="Utilisa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Annuaire" displayName="tblAnnuaire" ref="A5:L8" totalsRowShown="0">
  <tableColumns count="12">
    <tableColumn id="1" xr3:uid="{00000000-0010-0000-0400-000001000000}" name="LOGID"/>
    <tableColumn id="2" xr3:uid="{00000000-0010-0000-0400-000002000000}" name="Site"/>
    <tableColumn id="3" xr3:uid="{00000000-0010-0000-0400-000003000000}" name="Nom"/>
    <tableColumn id="4" xr3:uid="{00000000-0010-0000-0400-000004000000}" name="Prénom"/>
    <tableColumn id="5" xr3:uid="{00000000-0010-0000-0400-000005000000}" name="PERSOID"/>
    <tableColumn id="6" xr3:uid="{00000000-0010-0000-0400-000006000000}" name="Nom Complet"/>
    <tableColumn id="7" xr3:uid="{00000000-0010-0000-0400-000007000000}" name="Email"/>
    <tableColumn id="8" xr3:uid="{00000000-0010-0000-0400-000008000000}" name="Code Sas"/>
    <tableColumn id="9" xr3:uid="{00000000-0010-0000-0400-000009000000}" name="Date embauche"/>
    <tableColumn id="10" xr3:uid="{00000000-0010-0000-0400-00000A000000}" name="Manager"/>
    <tableColumn id="11" xr3:uid="{00000000-0010-0000-0400-00000B000000}" name="Activité"/>
    <tableColumn id="12" xr3:uid="{00000000-0010-0000-0400-00000C000000}" name="Sous activité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ourceExemple" displayName="tblSourceExemple" ref="A5:I12" totalsRowShown="0">
  <tableColumns count="9">
    <tableColumn id="1" xr3:uid="{00000000-0010-0000-0500-000001000000}" name="NumeroDossier"/>
    <tableColumn id="2" xr3:uid="{00000000-0010-0000-0500-000002000000}" name="PersoID"/>
    <tableColumn id="3" xr3:uid="{00000000-0010-0000-0500-000003000000}" name="DateTime"/>
    <tableColumn id="4" xr3:uid="{00000000-0010-0000-0500-000004000000}" name="Activite"/>
    <tableColumn id="5" xr3:uid="{00000000-0010-0000-0500-000005000000}" name="Produit"/>
    <tableColumn id="6" xr3:uid="{00000000-0010-0000-0500-000006000000}" name="TypeDossier"/>
    <tableColumn id="7" xr3:uid="{00000000-0010-0000-0500-000007000000}" name="Decision"/>
    <tableColumn id="8" xr3:uid="{00000000-0010-0000-0500-000008000000}" name="Dispo"/>
    <tableColumn id="9" xr3:uid="{00000000-0010-0000-0500-000009000000}" name="Commen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showGridLines="0" zoomScale="76" zoomScaleNormal="76" workbookViewId="0">
      <selection activeCell="Q19" sqref="Q19"/>
    </sheetView>
  </sheetViews>
  <sheetFormatPr baseColWidth="10" defaultColWidth="8.796875" defaultRowHeight="13.8"/>
  <cols>
    <col min="1" max="1" width="19" customWidth="1"/>
    <col min="2" max="2" width="16" customWidth="1"/>
    <col min="3" max="15" width="12" customWidth="1"/>
  </cols>
  <sheetData>
    <row r="1" spans="1:15" ht="30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30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9.95" customHeight="1">
      <c r="A3" s="33" t="s">
        <v>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ht="19.95" customHeight="1"/>
    <row r="5" spans="1:15" ht="19.95" customHeight="1">
      <c r="A5" s="34" t="s">
        <v>2</v>
      </c>
      <c r="B5" s="35"/>
      <c r="C5" s="36"/>
      <c r="E5" s="34" t="s">
        <v>3</v>
      </c>
      <c r="F5" s="35"/>
      <c r="G5" s="36"/>
      <c r="I5" s="34" t="s">
        <v>4</v>
      </c>
      <c r="J5" s="35"/>
      <c r="K5" s="36"/>
      <c r="M5" s="34" t="s">
        <v>5</v>
      </c>
      <c r="N5" s="35"/>
      <c r="O5" s="36"/>
    </row>
    <row r="6" spans="1:15" ht="30" customHeight="1">
      <c r="A6" s="37">
        <f>SUM(tblDataBrut[Nombre de dossiers traités])</f>
        <v>7</v>
      </c>
      <c r="B6" s="38"/>
      <c r="C6" s="39"/>
      <c r="E6" s="43" t="e">
        <f ca="1">ROWS(_xlfn.UNIQUE(tblDataBrut[Dossier]))</f>
        <v>#NAME?</v>
      </c>
      <c r="F6" s="44"/>
      <c r="G6" s="45"/>
      <c r="I6" s="49" t="e">
        <f ca="1">ROWS(_xlfn.UNIQUE(tblDataBrut[Collaborateur]))</f>
        <v>#NAME?</v>
      </c>
      <c r="J6" s="50"/>
      <c r="K6" s="51"/>
      <c r="M6" s="55">
        <f>COUNTIF(tblDataBrut[Collaborateur],"Agent non référencé")</f>
        <v>0</v>
      </c>
      <c r="N6" s="56"/>
      <c r="O6" s="57"/>
    </row>
    <row r="7" spans="1:15" ht="30" customHeight="1">
      <c r="A7" s="40"/>
      <c r="B7" s="41"/>
      <c r="C7" s="42"/>
      <c r="E7" s="46"/>
      <c r="F7" s="47"/>
      <c r="G7" s="48"/>
      <c r="I7" s="52"/>
      <c r="J7" s="53"/>
      <c r="K7" s="54"/>
      <c r="M7" s="58"/>
      <c r="N7" s="59"/>
      <c r="O7" s="60"/>
    </row>
    <row r="8" spans="1:15" ht="19.95" customHeight="1"/>
    <row r="9" spans="1:15" ht="19.95" customHeight="1"/>
    <row r="10" spans="1:15" ht="19.95" customHeight="1">
      <c r="A10" s="61" t="s">
        <v>6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</row>
    <row r="11" spans="1:15" ht="19.95" customHeight="1">
      <c r="A11" s="34" t="s">
        <v>7</v>
      </c>
      <c r="B11" s="36"/>
      <c r="C11" s="34" t="s">
        <v>8</v>
      </c>
      <c r="D11" s="36"/>
      <c r="E11" s="34" t="s">
        <v>9</v>
      </c>
      <c r="F11" s="36"/>
    </row>
    <row r="12" spans="1:15" ht="19.95" customHeight="1">
      <c r="A12" s="62" t="s">
        <v>10</v>
      </c>
      <c r="B12" s="63"/>
      <c r="C12" s="62" t="s">
        <v>10</v>
      </c>
      <c r="D12" s="63"/>
      <c r="E12" s="62" t="s">
        <v>10</v>
      </c>
      <c r="F12" s="63"/>
    </row>
    <row r="13" spans="1:15" ht="19.95" customHeight="1"/>
    <row r="14" spans="1:15" ht="19.95" customHeight="1">
      <c r="A14" s="16" t="s">
        <v>11</v>
      </c>
      <c r="B14" s="17" t="s">
        <v>12</v>
      </c>
    </row>
    <row r="15" spans="1:15" ht="19.95" customHeight="1">
      <c r="A15" s="18" t="e">
        <f ca="1">IF(Paramètres!N3="","",Paramètres!N3)</f>
        <v>#NAME?</v>
      </c>
      <c r="B15" s="21" t="e">
        <f ca="1">IF(A15="","",SUMIFS(tblDataBrut[Nombre de dossiers traités],tblDataBrut[Activité],A15,tblDataBrut[Mois],IF($A$12="Tous","*",$A$12),tblDataBrut[Semaine],IF($C$12="Tous","*",$C$12),tblDataBrut[Site],IF($E$12="Tous","*",$E$12)))</f>
        <v>#NAME?</v>
      </c>
    </row>
    <row r="16" spans="1:15" ht="19.95" customHeight="1">
      <c r="A16" s="18" t="e">
        <f ca="1">IF(Paramètres!N4="","",Paramètres!N4)</f>
        <v>#NAME?</v>
      </c>
      <c r="B16" s="21" t="e">
        <f ca="1">IF(A16="","",SUMIFS(tblDataBrut[Nombre de dossiers traités],tblDataBrut[Activité],A16,tblDataBrut[Mois],IF($A$12="Tous","*",$A$12),tblDataBrut[Semaine],IF($C$12="Tous","*",$C$12),tblDataBrut[Site],IF($E$12="Tous","*",$E$12)))</f>
        <v>#NAME?</v>
      </c>
    </row>
    <row r="17" spans="1:15" ht="19.95" customHeight="1">
      <c r="A17" s="18" t="str">
        <f>IF(Paramètres!N5="","",Paramètres!N5)</f>
        <v/>
      </c>
      <c r="B17" s="21" t="str">
        <f>IF(A17="","",SUMIFS(tblDataBrut[Nombre de dossiers traités],tblDataBrut[Activité],A17,tblDataBrut[Mois],IF($A$12="Tous","*",$A$12),tblDataBrut[Semaine],IF($C$12="Tous","*",$C$12),tblDataBrut[Site],IF($E$12="Tous","*",$E$12)))</f>
        <v/>
      </c>
    </row>
    <row r="18" spans="1:15" ht="19.95" customHeight="1">
      <c r="A18" s="18" t="str">
        <f>IF(Paramètres!N6="","",Paramètres!N6)</f>
        <v/>
      </c>
      <c r="B18" s="21" t="str">
        <f>IF(A18="","",SUMIFS(tblDataBrut[Nombre de dossiers traités],tblDataBrut[Activité],A18,tblDataBrut[Mois],IF($A$12="Tous","*",$A$12),tblDataBrut[Semaine],IF($C$12="Tous","*",$C$12),tblDataBrut[Site],IF($E$12="Tous","*",$E$12)))</f>
        <v/>
      </c>
    </row>
    <row r="19" spans="1:15" ht="19.95" customHeight="1">
      <c r="A19" s="18" t="str">
        <f>IF(Paramètres!N7="","",Paramètres!N7)</f>
        <v/>
      </c>
      <c r="B19" s="21" t="str">
        <f>IF(A19="","",SUMIFS(tblDataBrut[Nombre de dossiers traités],tblDataBrut[Activité],A19,tblDataBrut[Mois],IF($A$12="Tous","*",$A$12),tblDataBrut[Semaine],IF($C$12="Tous","*",$C$12),tblDataBrut[Site],IF($E$12="Tous","*",$E$12)))</f>
        <v/>
      </c>
    </row>
    <row r="20" spans="1:15" ht="19.95" customHeight="1">
      <c r="A20" s="18" t="str">
        <f>IF(Paramètres!N8="","",Paramètres!N8)</f>
        <v/>
      </c>
      <c r="B20" s="21" t="str">
        <f>IF(A20="","",SUMIFS(tblDataBrut[Nombre de dossiers traités],tblDataBrut[Activité],A20,tblDataBrut[Mois],IF($A$12="Tous","*",$A$12),tblDataBrut[Semaine],IF($C$12="Tous","*",$C$12),tblDataBrut[Site],IF($E$12="Tous","*",$E$12)))</f>
        <v/>
      </c>
    </row>
    <row r="21" spans="1:15" ht="19.95" customHeight="1">
      <c r="A21" s="18" t="str">
        <f>IF(Paramètres!N9="","",Paramètres!N9)</f>
        <v/>
      </c>
      <c r="B21" s="21" t="str">
        <f>IF(A21="","",SUMIFS(tblDataBrut[Nombre de dossiers traités],tblDataBrut[Activité],A21,tblDataBrut[Mois],IF($A$12="Tous","*",$A$12),tblDataBrut[Semaine],IF($C$12="Tous","*",$C$12),tblDataBrut[Site],IF($E$12="Tous","*",$E$12)))</f>
        <v/>
      </c>
    </row>
    <row r="22" spans="1:15" ht="19.95" customHeight="1">
      <c r="A22" s="18" t="str">
        <f>IF(Paramètres!N10="","",Paramètres!N10)</f>
        <v/>
      </c>
      <c r="B22" s="21" t="str">
        <f>IF(A22="","",SUMIFS(tblDataBrut[Nombre de dossiers traités],tblDataBrut[Activité],A22,tblDataBrut[Mois],IF($A$12="Tous","*",$A$12),tblDataBrut[Semaine],IF($C$12="Tous","*",$C$12),tblDataBrut[Site],IF($E$12="Tous","*",$E$12)))</f>
        <v/>
      </c>
    </row>
    <row r="23" spans="1:15" ht="19.95" customHeight="1">
      <c r="A23" s="18" t="str">
        <f>IF(Paramètres!N11="","",Paramètres!N11)</f>
        <v/>
      </c>
      <c r="B23" s="21" t="str">
        <f>IF(A23="","",SUMIFS(tblDataBrut[Nombre de dossiers traités],tblDataBrut[Activité],A23,tblDataBrut[Mois],IF($A$12="Tous","*",$A$12),tblDataBrut[Semaine],IF($C$12="Tous","*",$C$12),tblDataBrut[Site],IF($E$12="Tous","*",$E$12)))</f>
        <v/>
      </c>
    </row>
    <row r="24" spans="1:15" ht="19.95" customHeight="1">
      <c r="A24" s="18" t="str">
        <f>IF(Paramètres!N12="","",Paramètres!N12)</f>
        <v/>
      </c>
      <c r="B24" s="21" t="str">
        <f>IF(A24="","",SUMIFS(tblDataBrut[Nombre de dossiers traités],tblDataBrut[Activité],A24,tblDataBrut[Mois],IF($A$12="Tous","*",$A$12),tblDataBrut[Semaine],IF($C$12="Tous","*",$C$12),tblDataBrut[Site],IF($E$12="Tous","*",$E$12)))</f>
        <v/>
      </c>
    </row>
    <row r="25" spans="1:15" ht="19.95" customHeight="1">
      <c r="A25" s="18" t="str">
        <f>IF(Paramètres!N13="","",Paramètres!N13)</f>
        <v/>
      </c>
      <c r="B25" s="21" t="str">
        <f>IF(A25="","",SUMIFS(tblDataBrut[Nombre de dossiers traités],tblDataBrut[Activité],A25,tblDataBrut[Mois],IF($A$12="Tous","*",$A$12),tblDataBrut[Semaine],IF($C$12="Tous","*",$C$12),tblDataBrut[Site],IF($E$12="Tous","*",$E$12)))</f>
        <v/>
      </c>
    </row>
    <row r="26" spans="1:15" ht="19.95" customHeight="1">
      <c r="A26" s="18"/>
      <c r="B26" s="21"/>
    </row>
    <row r="27" spans="1:15" ht="19.95" customHeight="1">
      <c r="A27" s="18"/>
      <c r="B27" s="21"/>
    </row>
    <row r="28" spans="1:15" ht="19.95" customHeight="1">
      <c r="A28" s="18"/>
      <c r="B28" s="21"/>
    </row>
    <row r="29" spans="1:15" ht="19.95" customHeight="1">
      <c r="A29" s="64" t="s">
        <v>13</v>
      </c>
      <c r="B29" s="65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</row>
    <row r="30" spans="1:15" ht="19.95" customHeight="1">
      <c r="A30" s="66" t="s">
        <v>11</v>
      </c>
      <c r="B30" s="67"/>
      <c r="C30" s="34" t="s">
        <v>7</v>
      </c>
      <c r="D30" s="36"/>
      <c r="E30" s="34" t="s">
        <v>8</v>
      </c>
      <c r="F30" s="36"/>
      <c r="G30" s="34" t="s">
        <v>14</v>
      </c>
      <c r="H30" s="36"/>
      <c r="I30" s="34" t="s">
        <v>9</v>
      </c>
      <c r="J30" s="36"/>
      <c r="K30" s="34" t="s">
        <v>15</v>
      </c>
      <c r="L30" s="36"/>
    </row>
    <row r="31" spans="1:15" ht="19.95" customHeight="1">
      <c r="A31" s="68" t="s">
        <v>10</v>
      </c>
      <c r="B31" s="69"/>
      <c r="C31" s="62" t="s">
        <v>10</v>
      </c>
      <c r="D31" s="63"/>
      <c r="E31" s="62" t="s">
        <v>10</v>
      </c>
      <c r="F31" s="63"/>
      <c r="G31" s="70" t="s">
        <v>16</v>
      </c>
      <c r="H31" s="71"/>
      <c r="I31" s="62" t="s">
        <v>10</v>
      </c>
      <c r="J31" s="63"/>
      <c r="K31" s="62" t="s">
        <v>10</v>
      </c>
      <c r="L31" s="63"/>
    </row>
    <row r="32" spans="1:15" ht="19.95" customHeight="1">
      <c r="A32" s="18"/>
      <c r="B32" s="21"/>
    </row>
    <row r="33" spans="1:15" ht="19.95" customHeight="1">
      <c r="A33" s="19" t="s">
        <v>17</v>
      </c>
      <c r="B33" s="22" t="s">
        <v>12</v>
      </c>
    </row>
    <row r="34" spans="1:15" ht="19.95" customHeight="1">
      <c r="A34" s="18" t="e">
        <f ca="1">IF(Paramètres!P3="","",Paramètres!P3)</f>
        <v>#NAME?</v>
      </c>
      <c r="B34" s="21" t="e">
        <f ca="1">IF(A34="","",IF($G$31="Toutes",SUMIFS(tblDataBrut[Nombre de dossiers traités],tblDataBrut[Produit],A34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34,tblDataBrut[Activité],IF($A$31="Tous","*",$A$31),tblDataBrut[Mois],IF($C$31="Tous","*",$C$31),tblDataBrut[Semaine],IF($E$31="Tous","*",$E$31),tblDataBrut[Site],IF($I$31="Tous","*",$I$31),tblDataBrut[Dispo],IF($K$31="Tous","*",$K$31),tblDataBrut[Date],$G$31)))</f>
        <v>#NAME?</v>
      </c>
    </row>
    <row r="35" spans="1:15" ht="19.95" customHeight="1">
      <c r="A35" s="18" t="e">
        <f ca="1">IF(Paramètres!P4="","",Paramètres!P4)</f>
        <v>#NAME?</v>
      </c>
      <c r="B35" s="21" t="e">
        <f ca="1">IF(A35="","",IF($G$31="Toutes",SUMIFS(tblDataBrut[Nombre de dossiers traités],tblDataBrut[Produit],A35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35,tblDataBrut[Activité],IF($A$31="Tous","*",$A$31),tblDataBrut[Mois],IF($C$31="Tous","*",$C$31),tblDataBrut[Semaine],IF($E$31="Tous","*",$E$31),tblDataBrut[Site],IF($I$31="Tous","*",$I$31),tblDataBrut[Dispo],IF($K$31="Tous","*",$K$31),tblDataBrut[Date],$G$31)))</f>
        <v>#NAME?</v>
      </c>
    </row>
    <row r="36" spans="1:15" ht="19.95" customHeight="1">
      <c r="A36" s="18" t="e">
        <f ca="1">IF(Paramètres!P5="","",Paramètres!P5)</f>
        <v>#NAME?</v>
      </c>
      <c r="B36" s="21" t="e">
        <f ca="1">IF(A36="","",IF($G$31="Toutes",SUMIFS(tblDataBrut[Nombre de dossiers traités],tblDataBrut[Produit],A36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36,tblDataBrut[Activité],IF($A$31="Tous","*",$A$31),tblDataBrut[Mois],IF($C$31="Tous","*",$C$31),tblDataBrut[Semaine],IF($E$31="Tous","*",$E$31),tblDataBrut[Site],IF($I$31="Tous","*",$I$31),tblDataBrut[Dispo],IF($K$31="Tous","*",$K$31),tblDataBrut[Date],$G$31)))</f>
        <v>#NAME?</v>
      </c>
    </row>
    <row r="37" spans="1:15" ht="19.95" customHeight="1">
      <c r="A37" s="18" t="str">
        <f>IF(Paramètres!P6="","",Paramètres!P6)</f>
        <v/>
      </c>
      <c r="B37" s="21" t="str">
        <f>IF(A37="","",IF($G$31="Toutes",SUMIFS(tblDataBrut[Nombre de dossiers traités],tblDataBrut[Produit],A37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37,tblDataBrut[Activité],IF($A$31="Tous","*",$A$31),tblDataBrut[Mois],IF($C$31="Tous","*",$C$31),tblDataBrut[Semaine],IF($E$31="Tous","*",$E$31),tblDataBrut[Site],IF($I$31="Tous","*",$I$31),tblDataBrut[Dispo],IF($K$31="Tous","*",$K$31),tblDataBrut[Date],$G$31)))</f>
        <v/>
      </c>
    </row>
    <row r="38" spans="1:15" ht="19.95" customHeight="1">
      <c r="A38" s="18" t="str">
        <f>IF(Paramètres!P7="","",Paramètres!P7)</f>
        <v/>
      </c>
      <c r="B38" s="21" t="str">
        <f>IF(A38="","",IF($G$31="Toutes",SUMIFS(tblDataBrut[Nombre de dossiers traités],tblDataBrut[Produit],A38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38,tblDataBrut[Activité],IF($A$31="Tous","*",$A$31),tblDataBrut[Mois],IF($C$31="Tous","*",$C$31),tblDataBrut[Semaine],IF($E$31="Tous","*",$E$31),tblDataBrut[Site],IF($I$31="Tous","*",$I$31),tblDataBrut[Dispo],IF($K$31="Tous","*",$K$31),tblDataBrut[Date],$G$31)))</f>
        <v/>
      </c>
    </row>
    <row r="39" spans="1:15" ht="19.95" customHeight="1">
      <c r="A39" s="18" t="str">
        <f>IF(Paramètres!P8="","",Paramètres!P8)</f>
        <v/>
      </c>
      <c r="B39" s="21" t="str">
        <f>IF(A39="","",IF($G$31="Toutes",SUMIFS(tblDataBrut[Nombre de dossiers traités],tblDataBrut[Produit],A39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39,tblDataBrut[Activité],IF($A$31="Tous","*",$A$31),tblDataBrut[Mois],IF($C$31="Tous","*",$C$31),tblDataBrut[Semaine],IF($E$31="Tous","*",$E$31),tblDataBrut[Site],IF($I$31="Tous","*",$I$31),tblDataBrut[Dispo],IF($K$31="Tous","*",$K$31),tblDataBrut[Date],$G$31)))</f>
        <v/>
      </c>
    </row>
    <row r="40" spans="1:15" ht="19.95" customHeight="1">
      <c r="A40" s="18" t="str">
        <f>IF(Paramètres!P9="","",Paramètres!P9)</f>
        <v/>
      </c>
      <c r="B40" s="21" t="str">
        <f>IF(A40="","",IF($G$31="Toutes",SUMIFS(tblDataBrut[Nombre de dossiers traités],tblDataBrut[Produit],A40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40,tblDataBrut[Activité],IF($A$31="Tous","*",$A$31),tblDataBrut[Mois],IF($C$31="Tous","*",$C$31),tblDataBrut[Semaine],IF($E$31="Tous","*",$E$31),tblDataBrut[Site],IF($I$31="Tous","*",$I$31),tblDataBrut[Dispo],IF($K$31="Tous","*",$K$31),tblDataBrut[Date],$G$31)))</f>
        <v/>
      </c>
    </row>
    <row r="41" spans="1:15" ht="19.95" customHeight="1">
      <c r="A41" s="18" t="str">
        <f>IF(Paramètres!P10="","",Paramètres!P10)</f>
        <v/>
      </c>
      <c r="B41" s="21" t="str">
        <f>IF(A41="","",IF($G$31="Toutes",SUMIFS(tblDataBrut[Nombre de dossiers traités],tblDataBrut[Produit],A41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41,tblDataBrut[Activité],IF($A$31="Tous","*",$A$31),tblDataBrut[Mois],IF($C$31="Tous","*",$C$31),tblDataBrut[Semaine],IF($E$31="Tous","*",$E$31),tblDataBrut[Site],IF($I$31="Tous","*",$I$31),tblDataBrut[Dispo],IF($K$31="Tous","*",$K$31),tblDataBrut[Date],$G$31)))</f>
        <v/>
      </c>
    </row>
    <row r="42" spans="1:15" ht="19.95" customHeight="1">
      <c r="A42" s="18" t="str">
        <f>IF(Paramètres!P11="","",Paramètres!P11)</f>
        <v/>
      </c>
      <c r="B42" s="21" t="str">
        <f>IF(A42="","",IF($G$31="Toutes",SUMIFS(tblDataBrut[Nombre de dossiers traités],tblDataBrut[Produit],A42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42,tblDataBrut[Activité],IF($A$31="Tous","*",$A$31),tblDataBrut[Mois],IF($C$31="Tous","*",$C$31),tblDataBrut[Semaine],IF($E$31="Tous","*",$E$31),tblDataBrut[Site],IF($I$31="Tous","*",$I$31),tblDataBrut[Dispo],IF($K$31="Tous","*",$K$31),tblDataBrut[Date],$G$31)))</f>
        <v/>
      </c>
    </row>
    <row r="43" spans="1:15" ht="19.95" customHeight="1">
      <c r="A43" s="18" t="str">
        <f>IF(Paramètres!P12="","",Paramètres!P12)</f>
        <v/>
      </c>
      <c r="B43" s="21" t="str">
        <f>IF(A43="","",IF($G$31="Toutes",SUMIFS(tblDataBrut[Nombre de dossiers traités],tblDataBrut[Produit],A43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43,tblDataBrut[Activité],IF($A$31="Tous","*",$A$31),tblDataBrut[Mois],IF($C$31="Tous","*",$C$31),tblDataBrut[Semaine],IF($E$31="Tous","*",$E$31),tblDataBrut[Site],IF($I$31="Tous","*",$I$31),tblDataBrut[Dispo],IF($K$31="Tous","*",$K$31),tblDataBrut[Date],$G$31)))</f>
        <v/>
      </c>
    </row>
    <row r="44" spans="1:15" ht="19.95" customHeight="1">
      <c r="A44" s="18" t="str">
        <f>IF(Paramètres!P13="","",Paramètres!P13)</f>
        <v/>
      </c>
      <c r="B44" s="21" t="str">
        <f>IF(A44="","",IF($G$31="Toutes",SUMIFS(tblDataBrut[Nombre de dossiers traités],tblDataBrut[Produit],A44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44,tblDataBrut[Activité],IF($A$31="Tous","*",$A$31),tblDataBrut[Mois],IF($C$31="Tous","*",$C$31),tblDataBrut[Semaine],IF($E$31="Tous","*",$E$31),tblDataBrut[Site],IF($I$31="Tous","*",$I$31),tblDataBrut[Dispo],IF($K$31="Tous","*",$K$31),tblDataBrut[Date],$G$31)))</f>
        <v/>
      </c>
    </row>
    <row r="45" spans="1:15" ht="19.95" customHeight="1">
      <c r="A45" s="18" t="str">
        <f>IF(Paramètres!P14="","",Paramètres!P14)</f>
        <v/>
      </c>
      <c r="B45" s="21" t="str">
        <f>IF(A45="","",IF($G$31="Toutes",SUMIFS(tblDataBrut[Nombre de dossiers traités],tblDataBrut[Produit],A45,tblDataBrut[Activité],IF($A$31="Tous","*",$A$31),tblDataBrut[Mois],IF($C$31="Tous","*",$C$31),tblDataBrut[Semaine],IF($E$31="Tous","*",$E$31),tblDataBrut[Site],IF($I$31="Tous","*",$I$31),tblDataBrut[Dispo],IF($K$31="Tous","*",$K$31)),SUMIFS(tblDataBrut[Nombre de dossiers traités],tblDataBrut[Produit],A45,tblDataBrut[Activité],IF($A$31="Tous","*",$A$31),tblDataBrut[Mois],IF($C$31="Tous","*",$C$31),tblDataBrut[Semaine],IF($E$31="Tous","*",$E$31),tblDataBrut[Site],IF($I$31="Tous","*",$I$31),tblDataBrut[Dispo],IF($K$31="Tous","*",$K$31),tblDataBrut[Date],$G$31)))</f>
        <v/>
      </c>
    </row>
    <row r="46" spans="1:15" ht="19.95" customHeight="1">
      <c r="A46" s="18"/>
      <c r="B46" s="21"/>
    </row>
    <row r="47" spans="1:15" ht="19.95" customHeight="1">
      <c r="A47" s="18"/>
      <c r="B47" s="21"/>
    </row>
    <row r="48" spans="1:15" ht="19.95" customHeight="1">
      <c r="A48" s="64" t="s">
        <v>18</v>
      </c>
      <c r="B48" s="65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</row>
    <row r="49" spans="1:10" ht="19.95" customHeight="1">
      <c r="A49" s="66" t="s">
        <v>11</v>
      </c>
      <c r="B49" s="67"/>
      <c r="C49" s="34" t="s">
        <v>7</v>
      </c>
      <c r="D49" s="36"/>
      <c r="E49" s="34" t="s">
        <v>8</v>
      </c>
      <c r="F49" s="36"/>
      <c r="G49" s="34" t="s">
        <v>14</v>
      </c>
      <c r="H49" s="36"/>
      <c r="I49" s="34" t="s">
        <v>17</v>
      </c>
      <c r="J49" s="36"/>
    </row>
    <row r="50" spans="1:10" ht="19.95" customHeight="1">
      <c r="A50" s="68" t="s">
        <v>10</v>
      </c>
      <c r="B50" s="69"/>
      <c r="C50" s="62" t="s">
        <v>10</v>
      </c>
      <c r="D50" s="63"/>
      <c r="E50" s="62" t="s">
        <v>10</v>
      </c>
      <c r="F50" s="63"/>
      <c r="G50" s="70" t="s">
        <v>16</v>
      </c>
      <c r="H50" s="71"/>
      <c r="I50" s="62" t="s">
        <v>10</v>
      </c>
      <c r="J50" s="63"/>
    </row>
    <row r="51" spans="1:10" ht="19.95" customHeight="1">
      <c r="A51" s="18"/>
      <c r="B51" s="21"/>
    </row>
    <row r="52" spans="1:10" ht="19.95" customHeight="1">
      <c r="A52" s="19" t="s">
        <v>9</v>
      </c>
      <c r="B52" s="22" t="s">
        <v>12</v>
      </c>
    </row>
    <row r="53" spans="1:10" ht="19.95" customHeight="1">
      <c r="A53" s="18" t="e">
        <f ca="1">IF(Paramètres!L3="","",Paramètres!L3)</f>
        <v>#NAME?</v>
      </c>
      <c r="B53" s="21" t="e">
        <f ca="1">IF(A53="","",IF($G$50="Toutes",SUMIFS(tblDataBrut[Nombre de dossiers traités],tblDataBrut[Site],A53,tblDataBrut[Activité],IF($A$50="Tous","*",$A$50),tblDataBrut[Mois],IF($C$50="Tous","*",$C$50),tblDataBrut[Semaine],IF($E$50="Tous","*",$E$50),tblDataBrut[Produit],IF($I$50="Tous","*",$I$50)),SUMIFS(tblDataBrut[Nombre de dossiers traités],tblDataBrut[Site],A53,tblDataBrut[Activité],IF($A$50="Tous","*",$A$50),tblDataBrut[Mois],IF($C$50="Tous","*",$C$50),tblDataBrut[Semaine],IF($E$50="Tous","*",$E$50),tblDataBrut[Produit],IF($I$50="Tous","*",$I$50),tblDataBrut[Date],$G$50)))</f>
        <v>#NAME?</v>
      </c>
    </row>
    <row r="54" spans="1:10" ht="19.95" customHeight="1">
      <c r="A54" s="18" t="str">
        <f>IF(Paramètres!L4="","",Paramètres!L4)</f>
        <v/>
      </c>
      <c r="B54" s="21" t="str">
        <f>IF(A54="","",IF($G$50="Toutes",SUMIFS(tblDataBrut[Nombre de dossiers traités],tblDataBrut[Site],A54,tblDataBrut[Activité],IF($A$50="Tous","*",$A$50),tblDataBrut[Mois],IF($C$50="Tous","*",$C$50),tblDataBrut[Semaine],IF($E$50="Tous","*",$E$50),tblDataBrut[Produit],IF($I$50="Tous","*",$I$50)),SUMIFS(tblDataBrut[Nombre de dossiers traités],tblDataBrut[Site],A54,tblDataBrut[Activité],IF($A$50="Tous","*",$A$50),tblDataBrut[Mois],IF($C$50="Tous","*",$C$50),tblDataBrut[Semaine],IF($E$50="Tous","*",$E$50),tblDataBrut[Produit],IF($I$50="Tous","*",$I$50),tblDataBrut[Date],$G$50)))</f>
        <v/>
      </c>
    </row>
    <row r="55" spans="1:10" ht="19.95" customHeight="1">
      <c r="A55" s="18" t="str">
        <f>IF(Paramètres!L5="","",Paramètres!L5)</f>
        <v/>
      </c>
      <c r="B55" s="21" t="str">
        <f>IF(A55="","",IF($G$50="Toutes",SUMIFS(tblDataBrut[Nombre de dossiers traités],tblDataBrut[Site],A55,tblDataBrut[Activité],IF($A$50="Tous","*",$A$50),tblDataBrut[Mois],IF($C$50="Tous","*",$C$50),tblDataBrut[Semaine],IF($E$50="Tous","*",$E$50),tblDataBrut[Produit],IF($I$50="Tous","*",$I$50)),SUMIFS(tblDataBrut[Nombre de dossiers traités],tblDataBrut[Site],A55,tblDataBrut[Activité],IF($A$50="Tous","*",$A$50),tblDataBrut[Mois],IF($C$50="Tous","*",$C$50),tblDataBrut[Semaine],IF($E$50="Tous","*",$E$50),tblDataBrut[Produit],IF($I$50="Tous","*",$I$50),tblDataBrut[Date],$G$50)))</f>
        <v/>
      </c>
    </row>
    <row r="56" spans="1:10" ht="19.95" customHeight="1">
      <c r="A56" s="18" t="str">
        <f>IF(Paramètres!L6="","",Paramètres!L6)</f>
        <v/>
      </c>
      <c r="B56" s="21" t="str">
        <f>IF(A56="","",IF($G$50="Toutes",SUMIFS(tblDataBrut[Nombre de dossiers traités],tblDataBrut[Site],A56,tblDataBrut[Activité],IF($A$50="Tous","*",$A$50),tblDataBrut[Mois],IF($C$50="Tous","*",$C$50),tblDataBrut[Semaine],IF($E$50="Tous","*",$E$50),tblDataBrut[Produit],IF($I$50="Tous","*",$I$50)),SUMIFS(tblDataBrut[Nombre de dossiers traités],tblDataBrut[Site],A56,tblDataBrut[Activité],IF($A$50="Tous","*",$A$50),tblDataBrut[Mois],IF($C$50="Tous","*",$C$50),tblDataBrut[Semaine],IF($E$50="Tous","*",$E$50),tblDataBrut[Produit],IF($I$50="Tous","*",$I$50),tblDataBrut[Date],$G$50)))</f>
        <v/>
      </c>
    </row>
    <row r="57" spans="1:10" ht="19.95" customHeight="1">
      <c r="A57" s="18" t="str">
        <f>IF(Paramètres!L7="","",Paramètres!L7)</f>
        <v/>
      </c>
      <c r="B57" s="21" t="str">
        <f>IF(A57="","",IF($G$50="Toutes",SUMIFS(tblDataBrut[Nombre de dossiers traités],tblDataBrut[Site],A57,tblDataBrut[Activité],IF($A$50="Tous","*",$A$50),tblDataBrut[Mois],IF($C$50="Tous","*",$C$50),tblDataBrut[Semaine],IF($E$50="Tous","*",$E$50),tblDataBrut[Produit],IF($I$50="Tous","*",$I$50)),SUMIFS(tblDataBrut[Nombre de dossiers traités],tblDataBrut[Site],A57,tblDataBrut[Activité],IF($A$50="Tous","*",$A$50),tblDataBrut[Mois],IF($C$50="Tous","*",$C$50),tblDataBrut[Semaine],IF($E$50="Tous","*",$E$50),tblDataBrut[Produit],IF($I$50="Tous","*",$I$50),tblDataBrut[Date],$G$50)))</f>
        <v/>
      </c>
    </row>
    <row r="58" spans="1:10" ht="19.95" customHeight="1">
      <c r="A58" s="18" t="str">
        <f>IF(Paramètres!L8="","",Paramètres!L8)</f>
        <v/>
      </c>
      <c r="B58" s="21" t="str">
        <f>IF(A58="","",IF($G$50="Toutes",SUMIFS(tblDataBrut[Nombre de dossiers traités],tblDataBrut[Site],A58,tblDataBrut[Activité],IF($A$50="Tous","*",$A$50),tblDataBrut[Mois],IF($C$50="Tous","*",$C$50),tblDataBrut[Semaine],IF($E$50="Tous","*",$E$50),tblDataBrut[Produit],IF($I$50="Tous","*",$I$50)),SUMIFS(tblDataBrut[Nombre de dossiers traités],tblDataBrut[Site],A58,tblDataBrut[Activité],IF($A$50="Tous","*",$A$50),tblDataBrut[Mois],IF($C$50="Tous","*",$C$50),tblDataBrut[Semaine],IF($E$50="Tous","*",$E$50),tblDataBrut[Produit],IF($I$50="Tous","*",$I$50),tblDataBrut[Date],$G$50)))</f>
        <v/>
      </c>
    </row>
    <row r="59" spans="1:10" ht="19.95" customHeight="1">
      <c r="A59" s="18" t="str">
        <f>IF(Paramètres!L9="","",Paramètres!L9)</f>
        <v/>
      </c>
      <c r="B59" s="21" t="str">
        <f>IF(A59="","",IF($G$50="Toutes",SUMIFS(tblDataBrut[Nombre de dossiers traités],tblDataBrut[Site],A59,tblDataBrut[Activité],IF($A$50="Tous","*",$A$50),tblDataBrut[Mois],IF($C$50="Tous","*",$C$50),tblDataBrut[Semaine],IF($E$50="Tous","*",$E$50),tblDataBrut[Produit],IF($I$50="Tous","*",$I$50)),SUMIFS(tblDataBrut[Nombre de dossiers traités],tblDataBrut[Site],A59,tblDataBrut[Activité],IF($A$50="Tous","*",$A$50),tblDataBrut[Mois],IF($C$50="Tous","*",$C$50),tblDataBrut[Semaine],IF($E$50="Tous","*",$E$50),tblDataBrut[Produit],IF($I$50="Tous","*",$I$50),tblDataBrut[Date],$G$50)))</f>
        <v/>
      </c>
    </row>
    <row r="60" spans="1:10" ht="19.95" customHeight="1">
      <c r="A60" s="18" t="str">
        <f>IF(Paramètres!L10="","",Paramètres!L10)</f>
        <v/>
      </c>
      <c r="B60" s="21" t="str">
        <f>IF(A60="","",IF($G$50="Toutes",SUMIFS(tblDataBrut[Nombre de dossiers traités],tblDataBrut[Site],A60,tblDataBrut[Activité],IF($A$50="Tous","*",$A$50),tblDataBrut[Mois],IF($C$50="Tous","*",$C$50),tblDataBrut[Semaine],IF($E$50="Tous","*",$E$50),tblDataBrut[Produit],IF($I$50="Tous","*",$I$50)),SUMIFS(tblDataBrut[Nombre de dossiers traités],tblDataBrut[Site],A60,tblDataBrut[Activité],IF($A$50="Tous","*",$A$50),tblDataBrut[Mois],IF($C$50="Tous","*",$C$50),tblDataBrut[Semaine],IF($E$50="Tous","*",$E$50),tblDataBrut[Produit],IF($I$50="Tous","*",$I$50),tblDataBrut[Date],$G$50)))</f>
        <v/>
      </c>
    </row>
    <row r="61" spans="1:10" ht="19.95" customHeight="1">
      <c r="A61" s="18" t="str">
        <f>IF(Paramètres!L11="","",Paramètres!L11)</f>
        <v/>
      </c>
      <c r="B61" s="21" t="str">
        <f>IF(A61="","",IF($G$50="Toutes",SUMIFS(tblDataBrut[Nombre de dossiers traités],tblDataBrut[Site],A61,tblDataBrut[Activité],IF($A$50="Tous","*",$A$50),tblDataBrut[Mois],IF($C$50="Tous","*",$C$50),tblDataBrut[Semaine],IF($E$50="Tous","*",$E$50),tblDataBrut[Produit],IF($I$50="Tous","*",$I$50)),SUMIFS(tblDataBrut[Nombre de dossiers traités],tblDataBrut[Site],A61,tblDataBrut[Activité],IF($A$50="Tous","*",$A$50),tblDataBrut[Mois],IF($C$50="Tous","*",$C$50),tblDataBrut[Semaine],IF($E$50="Tous","*",$E$50),tblDataBrut[Produit],IF($I$50="Tous","*",$I$50),tblDataBrut[Date],$G$50)))</f>
        <v/>
      </c>
    </row>
    <row r="62" spans="1:10" ht="19.95" customHeight="1">
      <c r="A62" s="18" t="str">
        <f>IF(Paramètres!L12="","",Paramètres!L12)</f>
        <v/>
      </c>
      <c r="B62" s="21" t="str">
        <f>IF(A62="","",IF($G$50="Toutes",SUMIFS(tblDataBrut[Nombre de dossiers traités],tblDataBrut[Site],A62,tblDataBrut[Activité],IF($A$50="Tous","*",$A$50),tblDataBrut[Mois],IF($C$50="Tous","*",$C$50),tblDataBrut[Semaine],IF($E$50="Tous","*",$E$50),tblDataBrut[Produit],IF($I$50="Tous","*",$I$50)),SUMIFS(tblDataBrut[Nombre de dossiers traités],tblDataBrut[Site],A62,tblDataBrut[Activité],IF($A$50="Tous","*",$A$50),tblDataBrut[Mois],IF($C$50="Tous","*",$C$50),tblDataBrut[Semaine],IF($E$50="Tous","*",$E$50),tblDataBrut[Produit],IF($I$50="Tous","*",$I$50),tblDataBrut[Date],$G$50)))</f>
        <v/>
      </c>
    </row>
    <row r="63" spans="1:10" ht="19.95" customHeight="1">
      <c r="A63" s="20" t="str">
        <f>IF(Paramètres!L13="","",Paramètres!L13)</f>
        <v/>
      </c>
      <c r="B63" s="23" t="str">
        <f>IF(A63="","",IF($G$50="Toutes",SUMIFS(tblDataBrut[Nombre de dossiers traités],tblDataBrut[Site],A63,tblDataBrut[Activité],IF($A$50="Tous","*",$A$50),tblDataBrut[Mois],IF($C$50="Tous","*",$C$50),tblDataBrut[Semaine],IF($E$50="Tous","*",$E$50),tblDataBrut[Produit],IF($I$50="Tous","*",$I$50)),SUMIFS(tblDataBrut[Nombre de dossiers traités],tblDataBrut[Site],A63,tblDataBrut[Activité],IF($A$50="Tous","*",$A$50),tblDataBrut[Mois],IF($C$50="Tous","*",$C$50),tblDataBrut[Semaine],IF($E$50="Tous","*",$E$50),tblDataBrut[Produit],IF($I$50="Tous","*",$I$50),tblDataBrut[Date],$G$50)))</f>
        <v/>
      </c>
    </row>
    <row r="64" spans="1:10" ht="19.95" customHeight="1"/>
    <row r="65" spans="1:15" ht="19.95" customHeight="1"/>
    <row r="66" spans="1:15" ht="19.95" customHeight="1">
      <c r="A66" s="72" t="s">
        <v>19</v>
      </c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4"/>
    </row>
    <row r="67" spans="1:15" ht="19.95" customHeight="1">
      <c r="A67" s="7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7"/>
    </row>
  </sheetData>
  <mergeCells count="42">
    <mergeCell ref="A66:O67"/>
    <mergeCell ref="A48:O48"/>
    <mergeCell ref="A49:B49"/>
    <mergeCell ref="A50:B50"/>
    <mergeCell ref="C49:D49"/>
    <mergeCell ref="C50:D50"/>
    <mergeCell ref="E49:F49"/>
    <mergeCell ref="E50:F50"/>
    <mergeCell ref="G49:H49"/>
    <mergeCell ref="G50:H50"/>
    <mergeCell ref="I49:J49"/>
    <mergeCell ref="I50:J50"/>
    <mergeCell ref="A29:O29"/>
    <mergeCell ref="A30:B30"/>
    <mergeCell ref="A31:B31"/>
    <mergeCell ref="C30:D30"/>
    <mergeCell ref="C31:D31"/>
    <mergeCell ref="E30:F30"/>
    <mergeCell ref="E31:F31"/>
    <mergeCell ref="G30:H30"/>
    <mergeCell ref="G31:H31"/>
    <mergeCell ref="I30:J30"/>
    <mergeCell ref="I31:J31"/>
    <mergeCell ref="K30:L30"/>
    <mergeCell ref="K31:L31"/>
    <mergeCell ref="A10:O10"/>
    <mergeCell ref="A11:B11"/>
    <mergeCell ref="A12:B12"/>
    <mergeCell ref="C11:D11"/>
    <mergeCell ref="C12:D12"/>
    <mergeCell ref="E11:F11"/>
    <mergeCell ref="E12:F12"/>
    <mergeCell ref="A1:O2"/>
    <mergeCell ref="A3:O3"/>
    <mergeCell ref="A5:C5"/>
    <mergeCell ref="A6:C7"/>
    <mergeCell ref="E5:G5"/>
    <mergeCell ref="E6:G7"/>
    <mergeCell ref="I5:K5"/>
    <mergeCell ref="I6:K7"/>
    <mergeCell ref="M5:O5"/>
    <mergeCell ref="M6:O7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xr:uid="{00000000-0002-0000-0000-000000000000}">
          <x14:formula1>
            <xm:f>Paramètres!$H$2:$H$100</xm:f>
          </x14:formula1>
          <xm:sqref>A12:B12 C50:D50 C31:D31</xm:sqref>
        </x14:dataValidation>
        <x14:dataValidation type="list" xr:uid="{00000000-0002-0000-0000-000001000000}">
          <x14:formula1>
            <xm:f>Paramètres!$J$2:$J$100</xm:f>
          </x14:formula1>
          <xm:sqref>C12:D12 E50:F50 E31:F31</xm:sqref>
        </x14:dataValidation>
        <x14:dataValidation type="list" xr:uid="{00000000-0002-0000-0000-000002000000}">
          <x14:formula1>
            <xm:f>Paramètres!$L$2:$L$100</xm:f>
          </x14:formula1>
          <xm:sqref>E12:F12 I31:J31</xm:sqref>
        </x14:dataValidation>
        <x14:dataValidation type="list" xr:uid="{00000000-0002-0000-0000-000003000000}">
          <x14:formula1>
            <xm:f>Paramètres!$N$2:$N$100</xm:f>
          </x14:formula1>
          <xm:sqref>A31:B31 A50:B50</xm:sqref>
        </x14:dataValidation>
        <x14:dataValidation type="list" xr:uid="{00000000-0002-0000-0000-000006000000}">
          <x14:formula1>
            <xm:f>Paramètres!$T$2:$T$100</xm:f>
          </x14:formula1>
          <xm:sqref>G31:H31 G50:H50</xm:sqref>
        </x14:dataValidation>
        <x14:dataValidation type="list" xr:uid="{00000000-0002-0000-0000-000008000000}">
          <x14:formula1>
            <xm:f>Paramètres!$R$2:$R$100</xm:f>
          </x14:formula1>
          <xm:sqref>K31:L31</xm:sqref>
        </x14:dataValidation>
        <x14:dataValidation type="list" xr:uid="{00000000-0002-0000-0000-00000D000000}">
          <x14:formula1>
            <xm:f>Paramètres!$P$2:$P$100</xm:f>
          </x14:formula1>
          <xm:sqref>I50:J50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showGridLines="0" workbookViewId="0">
      <selection sqref="A1:H2"/>
    </sheetView>
  </sheetViews>
  <sheetFormatPr baseColWidth="10" defaultColWidth="8.796875" defaultRowHeight="13.8"/>
  <cols>
    <col min="1" max="3" width="15" customWidth="1"/>
    <col min="4" max="4" width="13" customWidth="1"/>
    <col min="5" max="7" width="20" customWidth="1"/>
    <col min="8" max="8" width="18" customWidth="1"/>
  </cols>
  <sheetData>
    <row r="1" spans="1:8">
      <c r="A1" s="32" t="s">
        <v>20</v>
      </c>
      <c r="B1" s="32"/>
      <c r="C1" s="32"/>
      <c r="D1" s="32"/>
      <c r="E1" s="32"/>
      <c r="F1" s="32"/>
      <c r="G1" s="32"/>
      <c r="H1" s="32"/>
    </row>
    <row r="2" spans="1:8">
      <c r="A2" s="32"/>
      <c r="B2" s="32"/>
      <c r="C2" s="32"/>
      <c r="D2" s="32"/>
      <c r="E2" s="32"/>
      <c r="F2" s="32"/>
      <c r="G2" s="32"/>
      <c r="H2" s="32"/>
    </row>
    <row r="3" spans="1:8">
      <c r="A3" s="33" t="s">
        <v>21</v>
      </c>
      <c r="B3" s="33"/>
      <c r="C3" s="33"/>
      <c r="D3" s="33"/>
      <c r="E3" s="33"/>
      <c r="F3" s="33"/>
      <c r="G3" s="33"/>
      <c r="H3" s="33"/>
    </row>
    <row r="6" spans="1:8" ht="30" customHeight="1">
      <c r="A6" s="1" t="s">
        <v>7</v>
      </c>
      <c r="B6" s="2" t="s">
        <v>8</v>
      </c>
      <c r="C6" s="2" t="s">
        <v>9</v>
      </c>
      <c r="D6" s="2" t="s">
        <v>14</v>
      </c>
      <c r="E6" s="2" t="s">
        <v>11</v>
      </c>
      <c r="F6" s="2" t="s">
        <v>17</v>
      </c>
      <c r="G6" s="2" t="s">
        <v>15</v>
      </c>
      <c r="H6" s="3" t="s">
        <v>22</v>
      </c>
    </row>
    <row r="7" spans="1:8">
      <c r="A7" t="s">
        <v>23</v>
      </c>
      <c r="B7" t="s">
        <v>24</v>
      </c>
      <c r="C7" t="s">
        <v>25</v>
      </c>
      <c r="D7" s="4">
        <v>46252</v>
      </c>
      <c r="E7" t="s">
        <v>26</v>
      </c>
      <c r="F7" t="s">
        <v>27</v>
      </c>
      <c r="G7" t="s">
        <v>28</v>
      </c>
      <c r="H7" s="6">
        <f>SUMIFS(tblDataBrut[Nombre de dossiers traités],tblDataBrut[Mois],A7,tblDataBrut[Semaine],B7,tblDataBrut[Site],C7,tblDataBrut[Date],D7,tblDataBrut[Activité],E7,tblDataBrut[Produit],F7,tblDataBrut[Dispo],G7)</f>
        <v>2</v>
      </c>
    </row>
    <row r="8" spans="1:8">
      <c r="A8" t="s">
        <v>23</v>
      </c>
      <c r="B8" t="s">
        <v>24</v>
      </c>
      <c r="C8" t="s">
        <v>25</v>
      </c>
      <c r="D8" s="4">
        <v>46252</v>
      </c>
      <c r="E8" t="s">
        <v>29</v>
      </c>
      <c r="F8" t="s">
        <v>30</v>
      </c>
      <c r="G8" t="s">
        <v>31</v>
      </c>
      <c r="H8" s="6">
        <f>SUMIFS(tblDataBrut[Nombre de dossiers traités],tblDataBrut[Mois],A8,tblDataBrut[Semaine],B8,tblDataBrut[Site],C8,tblDataBrut[Date],D8,tblDataBrut[Activité],E8,tblDataBrut[Produit],F8,tblDataBrut[Dispo],G8)</f>
        <v>3</v>
      </c>
    </row>
    <row r="9" spans="1:8">
      <c r="A9" t="s">
        <v>23</v>
      </c>
      <c r="B9" t="s">
        <v>24</v>
      </c>
      <c r="C9" t="s">
        <v>25</v>
      </c>
      <c r="D9" s="4">
        <v>46252</v>
      </c>
      <c r="E9" t="s">
        <v>29</v>
      </c>
      <c r="F9" t="s">
        <v>32</v>
      </c>
      <c r="G9" t="s">
        <v>31</v>
      </c>
      <c r="H9" s="6">
        <f>SUMIFS(tblDataBrut[Nombre de dossiers traités],tblDataBrut[Mois],A9,tblDataBrut[Semaine],B9,tblDataBrut[Site],C9,tblDataBrut[Date],D9,tblDataBrut[Activité],E9,tblDataBrut[Produit],F9,tblDataBrut[Dispo],G9)</f>
        <v>1</v>
      </c>
    </row>
    <row r="10" spans="1:8">
      <c r="A10" t="s">
        <v>23</v>
      </c>
      <c r="B10" t="s">
        <v>24</v>
      </c>
      <c r="C10" t="s">
        <v>25</v>
      </c>
      <c r="D10" s="4">
        <v>46253</v>
      </c>
      <c r="E10" t="s">
        <v>29</v>
      </c>
      <c r="F10" t="s">
        <v>30</v>
      </c>
      <c r="G10" t="s">
        <v>31</v>
      </c>
      <c r="H10" s="6">
        <f>SUMIFS(tblDataBrut[Nombre de dossiers traités],tblDataBrut[Mois],A10,tblDataBrut[Semaine],B10,tblDataBrut[Site],C10,tblDataBrut[Date],D10,tblDataBrut[Activité],E10,tblDataBrut[Produit],F10,tblDataBrut[Dispo],G10)</f>
        <v>1</v>
      </c>
    </row>
  </sheetData>
  <mergeCells count="2">
    <mergeCell ref="A1:H2"/>
    <mergeCell ref="A3:H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"/>
  <sheetViews>
    <sheetView showGridLines="0" workbookViewId="0">
      <selection activeCell="A6" sqref="A6"/>
    </sheetView>
  </sheetViews>
  <sheetFormatPr baseColWidth="10" defaultColWidth="8.796875" defaultRowHeight="13.8"/>
  <cols>
    <col min="1" max="3" width="14" customWidth="1"/>
    <col min="4" max="4" width="25" customWidth="1"/>
    <col min="5" max="5" width="13" customWidth="1"/>
    <col min="6" max="8" width="19" customWidth="1"/>
    <col min="9" max="9" width="18" customWidth="1"/>
  </cols>
  <sheetData>
    <row r="1" spans="1:9">
      <c r="A1" s="32" t="s">
        <v>33</v>
      </c>
      <c r="B1" s="32"/>
      <c r="C1" s="32"/>
      <c r="D1" s="32"/>
      <c r="E1" s="32"/>
      <c r="F1" s="32"/>
      <c r="G1" s="32"/>
      <c r="H1" s="32"/>
      <c r="I1" s="32"/>
    </row>
    <row r="2" spans="1:9">
      <c r="A2" s="32"/>
      <c r="B2" s="32"/>
      <c r="C2" s="32"/>
      <c r="D2" s="32"/>
      <c r="E2" s="32"/>
      <c r="F2" s="32"/>
      <c r="G2" s="32"/>
      <c r="H2" s="32"/>
      <c r="I2" s="32"/>
    </row>
    <row r="3" spans="1:9">
      <c r="A3" s="33" t="s">
        <v>34</v>
      </c>
      <c r="B3" s="33"/>
      <c r="C3" s="33"/>
      <c r="D3" s="33"/>
      <c r="E3" s="33"/>
      <c r="F3" s="33"/>
      <c r="G3" s="33"/>
      <c r="H3" s="33"/>
      <c r="I3" s="33"/>
    </row>
    <row r="6" spans="1:9" ht="30" customHeight="1">
      <c r="A6" s="1" t="s">
        <v>7</v>
      </c>
      <c r="B6" s="2" t="s">
        <v>8</v>
      </c>
      <c r="C6" s="2" t="s">
        <v>9</v>
      </c>
      <c r="D6" s="2" t="s">
        <v>35</v>
      </c>
      <c r="E6" s="2" t="s">
        <v>14</v>
      </c>
      <c r="F6" s="2" t="s">
        <v>11</v>
      </c>
      <c r="G6" s="2" t="s">
        <v>17</v>
      </c>
      <c r="H6" s="2" t="s">
        <v>15</v>
      </c>
      <c r="I6" s="3" t="s">
        <v>22</v>
      </c>
    </row>
    <row r="7" spans="1:9">
      <c r="A7" t="s">
        <v>23</v>
      </c>
      <c r="B7" t="s">
        <v>24</v>
      </c>
      <c r="C7" t="s">
        <v>25</v>
      </c>
      <c r="D7" t="s">
        <v>36</v>
      </c>
      <c r="E7" s="4">
        <v>46252</v>
      </c>
      <c r="F7" t="s">
        <v>26</v>
      </c>
      <c r="G7" t="s">
        <v>27</v>
      </c>
      <c r="H7" t="s">
        <v>28</v>
      </c>
      <c r="I7" s="6">
        <f>SUMIFS(tblDataBrut[Nombre de dossiers traités],tblDataBrut[Mois],A7,tblDataBrut[Semaine],B7,tblDataBrut[Site],C7,tblDataBrut[Collaborateur],D7,tblDataBrut[Date],E7,tblDataBrut[Activité],F7,tblDataBrut[Produit],G7,tblDataBrut[Dispo],H7)</f>
        <v>2</v>
      </c>
    </row>
    <row r="8" spans="1:9">
      <c r="A8" t="s">
        <v>23</v>
      </c>
      <c r="B8" t="s">
        <v>24</v>
      </c>
      <c r="C8" t="s">
        <v>25</v>
      </c>
      <c r="D8" t="s">
        <v>36</v>
      </c>
      <c r="E8" s="4">
        <v>46252</v>
      </c>
      <c r="F8" t="s">
        <v>29</v>
      </c>
      <c r="G8" t="s">
        <v>30</v>
      </c>
      <c r="H8" t="s">
        <v>31</v>
      </c>
      <c r="I8" s="6">
        <f>SUMIFS(tblDataBrut[Nombre de dossiers traités],tblDataBrut[Mois],A8,tblDataBrut[Semaine],B8,tblDataBrut[Site],C8,tblDataBrut[Collaborateur],D8,tblDataBrut[Date],E8,tblDataBrut[Activité],F8,tblDataBrut[Produit],G8,tblDataBrut[Dispo],H8)</f>
        <v>3</v>
      </c>
    </row>
    <row r="9" spans="1:9">
      <c r="A9" t="s">
        <v>23</v>
      </c>
      <c r="B9" t="s">
        <v>24</v>
      </c>
      <c r="C9" t="s">
        <v>25</v>
      </c>
      <c r="D9" t="s">
        <v>36</v>
      </c>
      <c r="E9" s="4">
        <v>46252</v>
      </c>
      <c r="F9" t="s">
        <v>29</v>
      </c>
      <c r="G9" t="s">
        <v>32</v>
      </c>
      <c r="H9" t="s">
        <v>31</v>
      </c>
      <c r="I9" s="6">
        <f>SUMIFS(tblDataBrut[Nombre de dossiers traités],tblDataBrut[Mois],A9,tblDataBrut[Semaine],B9,tblDataBrut[Site],C9,tblDataBrut[Collaborateur],D9,tblDataBrut[Date],E9,tblDataBrut[Activité],F9,tblDataBrut[Produit],G9,tblDataBrut[Dispo],H9)</f>
        <v>1</v>
      </c>
    </row>
    <row r="10" spans="1:9">
      <c r="A10" t="s">
        <v>23</v>
      </c>
      <c r="B10" t="s">
        <v>24</v>
      </c>
      <c r="C10" t="s">
        <v>25</v>
      </c>
      <c r="D10" t="s">
        <v>36</v>
      </c>
      <c r="E10" s="4">
        <v>46253</v>
      </c>
      <c r="F10" t="s">
        <v>29</v>
      </c>
      <c r="G10" t="s">
        <v>30</v>
      </c>
      <c r="H10" t="s">
        <v>31</v>
      </c>
      <c r="I10" s="6">
        <f>SUMIFS(tblDataBrut[Nombre de dossiers traités],tblDataBrut[Mois],A10,tblDataBrut[Semaine],B10,tblDataBrut[Site],C10,tblDataBrut[Collaborateur],D10,tblDataBrut[Date],E10,tblDataBrut[Activité],F10,tblDataBrut[Produit],G10,tblDataBrut[Dispo],H10)</f>
        <v>1</v>
      </c>
    </row>
  </sheetData>
  <mergeCells count="2">
    <mergeCell ref="A1:I2"/>
    <mergeCell ref="A3:I3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"/>
  <sheetViews>
    <sheetView showGridLines="0" topLeftCell="E1" workbookViewId="0">
      <selection activeCell="E18" sqref="E18"/>
    </sheetView>
  </sheetViews>
  <sheetFormatPr baseColWidth="10" defaultColWidth="8.796875" defaultRowHeight="13.8"/>
  <cols>
    <col min="1" max="1" width="12" customWidth="1"/>
    <col min="2" max="3" width="13" customWidth="1"/>
    <col min="4" max="4" width="17" customWidth="1"/>
    <col min="5" max="5" width="24" customWidth="1"/>
    <col min="6" max="7" width="19" customWidth="1"/>
    <col min="8" max="8" width="16" customWidth="1"/>
    <col min="9" max="9" width="18" customWidth="1"/>
    <col min="10" max="10" width="24" customWidth="1"/>
    <col min="11" max="11" width="18" customWidth="1"/>
    <col min="12" max="12" width="16" customWidth="1"/>
    <col min="13" max="15" width="17" customWidth="1"/>
  </cols>
  <sheetData>
    <row r="1" spans="1:15">
      <c r="A1" s="32" t="s">
        <v>37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>
      <c r="A3" s="33" t="s">
        <v>38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ht="14.4">
      <c r="A4" s="78" t="s">
        <v>39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</row>
    <row r="6" spans="1:15" ht="30" customHeight="1">
      <c r="A6" s="1" t="s">
        <v>7</v>
      </c>
      <c r="B6" s="2" t="s">
        <v>8</v>
      </c>
      <c r="C6" s="2" t="s">
        <v>14</v>
      </c>
      <c r="D6" s="2" t="s">
        <v>9</v>
      </c>
      <c r="E6" s="2" t="s">
        <v>35</v>
      </c>
      <c r="F6" s="2" t="s">
        <v>11</v>
      </c>
      <c r="G6" s="2" t="s">
        <v>17</v>
      </c>
      <c r="H6" s="2" t="s">
        <v>40</v>
      </c>
      <c r="I6" s="2" t="s">
        <v>41</v>
      </c>
      <c r="J6" s="2" t="s">
        <v>42</v>
      </c>
      <c r="K6" s="2" t="s">
        <v>15</v>
      </c>
      <c r="L6" s="2" t="s">
        <v>22</v>
      </c>
      <c r="M6" s="2" t="s">
        <v>43</v>
      </c>
      <c r="N6" s="2" t="s">
        <v>44</v>
      </c>
      <c r="O6" s="3" t="s">
        <v>45</v>
      </c>
    </row>
    <row r="7" spans="1:15">
      <c r="A7" s="7" t="s">
        <v>23</v>
      </c>
      <c r="B7" s="7" t="s">
        <v>24</v>
      </c>
      <c r="C7" s="8">
        <v>46252</v>
      </c>
      <c r="D7" s="7" t="s">
        <v>25</v>
      </c>
      <c r="E7" s="7" t="s">
        <v>36</v>
      </c>
      <c r="F7" s="7" t="s">
        <v>29</v>
      </c>
      <c r="G7" s="7" t="s">
        <v>30</v>
      </c>
      <c r="H7" s="7" t="s">
        <v>46</v>
      </c>
      <c r="I7" s="7" t="s">
        <v>47</v>
      </c>
      <c r="J7" s="7" t="s">
        <v>48</v>
      </c>
      <c r="K7" s="7" t="s">
        <v>31</v>
      </c>
      <c r="L7" s="9">
        <v>1</v>
      </c>
      <c r="M7" s="7" t="s">
        <v>49</v>
      </c>
      <c r="N7" s="7" t="s">
        <v>50</v>
      </c>
      <c r="O7" s="10">
        <v>46252.091099537036</v>
      </c>
    </row>
    <row r="8" spans="1:15">
      <c r="A8" s="7" t="s">
        <v>23</v>
      </c>
      <c r="B8" s="7" t="s">
        <v>24</v>
      </c>
      <c r="C8" s="8">
        <v>46252</v>
      </c>
      <c r="D8" s="7" t="s">
        <v>25</v>
      </c>
      <c r="E8" s="7" t="s">
        <v>36</v>
      </c>
      <c r="F8" s="7" t="s">
        <v>26</v>
      </c>
      <c r="G8" s="7" t="s">
        <v>27</v>
      </c>
      <c r="H8" s="7" t="s">
        <v>46</v>
      </c>
      <c r="I8" s="7" t="s">
        <v>47</v>
      </c>
      <c r="J8" s="7" t="s">
        <v>48</v>
      </c>
      <c r="K8" s="7" t="s">
        <v>28</v>
      </c>
      <c r="L8" s="9">
        <v>1</v>
      </c>
      <c r="M8" s="7" t="s">
        <v>49</v>
      </c>
      <c r="N8" s="7"/>
      <c r="O8" s="10">
        <v>46252.091400451391</v>
      </c>
    </row>
    <row r="9" spans="1:15">
      <c r="A9" s="7" t="s">
        <v>23</v>
      </c>
      <c r="B9" s="7" t="s">
        <v>24</v>
      </c>
      <c r="C9" s="8">
        <v>46252</v>
      </c>
      <c r="D9" s="7" t="s">
        <v>25</v>
      </c>
      <c r="E9" s="7" t="s">
        <v>36</v>
      </c>
      <c r="F9" s="7" t="s">
        <v>26</v>
      </c>
      <c r="G9" s="7" t="s">
        <v>27</v>
      </c>
      <c r="H9" s="7" t="s">
        <v>51</v>
      </c>
      <c r="I9" s="7" t="s">
        <v>47</v>
      </c>
      <c r="J9" s="7" t="s">
        <v>48</v>
      </c>
      <c r="K9" s="7" t="s">
        <v>28</v>
      </c>
      <c r="L9" s="9">
        <v>1</v>
      </c>
      <c r="M9" s="7" t="s">
        <v>49</v>
      </c>
      <c r="N9" s="7"/>
      <c r="O9" s="10">
        <v>46252.091608796298</v>
      </c>
    </row>
    <row r="10" spans="1:15">
      <c r="A10" s="7" t="s">
        <v>23</v>
      </c>
      <c r="B10" s="7" t="s">
        <v>24</v>
      </c>
      <c r="C10" s="8">
        <v>46252</v>
      </c>
      <c r="D10" s="7" t="s">
        <v>25</v>
      </c>
      <c r="E10" s="7" t="s">
        <v>36</v>
      </c>
      <c r="F10" s="7" t="s">
        <v>29</v>
      </c>
      <c r="G10" s="7" t="s">
        <v>32</v>
      </c>
      <c r="H10" s="7" t="s">
        <v>52</v>
      </c>
      <c r="I10" s="7" t="s">
        <v>47</v>
      </c>
      <c r="J10" s="7" t="s">
        <v>48</v>
      </c>
      <c r="K10" s="7" t="s">
        <v>31</v>
      </c>
      <c r="L10" s="9">
        <v>1</v>
      </c>
      <c r="M10" s="7" t="s">
        <v>49</v>
      </c>
      <c r="N10" s="7" t="s">
        <v>50</v>
      </c>
      <c r="O10" s="10">
        <v>46252.47215277778</v>
      </c>
    </row>
    <row r="11" spans="1:15">
      <c r="A11" s="7" t="s">
        <v>23</v>
      </c>
      <c r="B11" s="7" t="s">
        <v>24</v>
      </c>
      <c r="C11" s="8">
        <v>46252</v>
      </c>
      <c r="D11" s="7" t="s">
        <v>25</v>
      </c>
      <c r="E11" s="7" t="s">
        <v>36</v>
      </c>
      <c r="F11" s="7" t="s">
        <v>29</v>
      </c>
      <c r="G11" s="7" t="s">
        <v>30</v>
      </c>
      <c r="H11" s="7" t="s">
        <v>53</v>
      </c>
      <c r="I11" s="7" t="s">
        <v>47</v>
      </c>
      <c r="J11" s="7" t="s">
        <v>48</v>
      </c>
      <c r="K11" s="7" t="s">
        <v>31</v>
      </c>
      <c r="L11" s="9">
        <v>1</v>
      </c>
      <c r="M11" s="7" t="s">
        <v>49</v>
      </c>
      <c r="N11" s="7" t="s">
        <v>50</v>
      </c>
      <c r="O11" s="10">
        <v>46252.476793981485</v>
      </c>
    </row>
    <row r="12" spans="1:15">
      <c r="A12" s="7" t="s">
        <v>23</v>
      </c>
      <c r="B12" s="7" t="s">
        <v>24</v>
      </c>
      <c r="C12" s="8">
        <v>46252</v>
      </c>
      <c r="D12" s="7" t="s">
        <v>25</v>
      </c>
      <c r="E12" s="7" t="s">
        <v>36</v>
      </c>
      <c r="F12" s="7" t="s">
        <v>29</v>
      </c>
      <c r="G12" s="7" t="s">
        <v>30</v>
      </c>
      <c r="H12" s="7" t="s">
        <v>54</v>
      </c>
      <c r="I12" s="7" t="s">
        <v>47</v>
      </c>
      <c r="J12" s="7" t="s">
        <v>48</v>
      </c>
      <c r="K12" s="7" t="s">
        <v>31</v>
      </c>
      <c r="L12" s="9">
        <v>1</v>
      </c>
      <c r="M12" s="7" t="s">
        <v>49</v>
      </c>
      <c r="N12" s="7" t="s">
        <v>50</v>
      </c>
      <c r="O12" s="10">
        <v>46252.477002314816</v>
      </c>
    </row>
    <row r="13" spans="1:15">
      <c r="A13" s="7" t="s">
        <v>23</v>
      </c>
      <c r="B13" s="7" t="s">
        <v>24</v>
      </c>
      <c r="C13" s="8">
        <v>46253</v>
      </c>
      <c r="D13" s="7" t="s">
        <v>25</v>
      </c>
      <c r="E13" s="7" t="s">
        <v>36</v>
      </c>
      <c r="F13" s="7" t="s">
        <v>29</v>
      </c>
      <c r="G13" s="7" t="s">
        <v>30</v>
      </c>
      <c r="H13" s="7" t="s">
        <v>55</v>
      </c>
      <c r="I13" s="7" t="s">
        <v>47</v>
      </c>
      <c r="J13" s="7" t="s">
        <v>56</v>
      </c>
      <c r="K13" s="7" t="s">
        <v>31</v>
      </c>
      <c r="L13" s="9">
        <v>1</v>
      </c>
      <c r="M13" s="7" t="s">
        <v>49</v>
      </c>
      <c r="N13" s="7" t="s">
        <v>50</v>
      </c>
      <c r="O13" s="10">
        <v>46253.686215277776</v>
      </c>
    </row>
  </sheetData>
  <mergeCells count="3">
    <mergeCell ref="A1:O2"/>
    <mergeCell ref="A3:O3"/>
    <mergeCell ref="A4:O4"/>
  </mergeCells>
  <conditionalFormatting sqref="E7:E5000">
    <cfRule type="containsText" dxfId="0" priority="1" operator="containsText" text="Agent non référencé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0"/>
  <sheetViews>
    <sheetView showGridLines="0" workbookViewId="0">
      <selection sqref="A1:F2"/>
    </sheetView>
  </sheetViews>
  <sheetFormatPr baseColWidth="10" defaultColWidth="8.796875" defaultRowHeight="13.8"/>
  <cols>
    <col min="1" max="1" width="20" customWidth="1"/>
    <col min="2" max="2" width="34" customWidth="1"/>
    <col min="3" max="3" width="58" customWidth="1"/>
    <col min="8" max="8" width="21" customWidth="1"/>
    <col min="10" max="10" width="21" customWidth="1"/>
    <col min="12" max="12" width="21" customWidth="1"/>
    <col min="14" max="14" width="21" customWidth="1"/>
    <col min="16" max="16" width="21" customWidth="1"/>
    <col min="18" max="18" width="21" customWidth="1"/>
    <col min="20" max="20" width="14" customWidth="1"/>
  </cols>
  <sheetData>
    <row r="1" spans="1:20">
      <c r="A1" s="32" t="s">
        <v>57</v>
      </c>
      <c r="B1" s="32"/>
      <c r="C1" s="32"/>
      <c r="D1" s="32"/>
      <c r="E1" s="32"/>
      <c r="F1" s="32"/>
      <c r="H1" s="11" t="s">
        <v>7</v>
      </c>
      <c r="J1" s="11" t="s">
        <v>8</v>
      </c>
      <c r="L1" s="11" t="s">
        <v>9</v>
      </c>
      <c r="N1" s="11" t="s">
        <v>11</v>
      </c>
      <c r="P1" s="11" t="s">
        <v>17</v>
      </c>
      <c r="R1" s="11" t="s">
        <v>15</v>
      </c>
      <c r="T1" s="11" t="s">
        <v>14</v>
      </c>
    </row>
    <row r="2" spans="1:20">
      <c r="A2" s="32"/>
      <c r="B2" s="32"/>
      <c r="C2" s="32"/>
      <c r="D2" s="32"/>
      <c r="E2" s="32"/>
      <c r="F2" s="32"/>
      <c r="H2" t="s">
        <v>10</v>
      </c>
      <c r="J2" t="s">
        <v>10</v>
      </c>
      <c r="L2" t="s">
        <v>10</v>
      </c>
      <c r="N2" t="s">
        <v>10</v>
      </c>
      <c r="P2" t="s">
        <v>10</v>
      </c>
      <c r="R2" t="s">
        <v>10</v>
      </c>
      <c r="T2" t="s">
        <v>16</v>
      </c>
    </row>
    <row r="3" spans="1:20">
      <c r="A3" s="33" t="s">
        <v>58</v>
      </c>
      <c r="B3" s="33"/>
      <c r="C3" s="33"/>
      <c r="D3" s="33"/>
      <c r="E3" s="33"/>
      <c r="F3" s="33"/>
      <c r="H3" t="e" cm="1">
        <f t="array" aca="1" ref="H3" ca="1">_xlfn._xlws.SORT(_xlfn.UNIQUE(tblDataBrut[Mois]))</f>
        <v>#NAME?</v>
      </c>
      <c r="J3" t="e" cm="1">
        <f t="array" aca="1" ref="J3" ca="1">_xlfn._xlws.SORT(_xlfn.UNIQUE(tblDataBrut[Semaine]))</f>
        <v>#NAME?</v>
      </c>
      <c r="L3" t="e" cm="1">
        <f t="array" aca="1" ref="L3" ca="1">_xlfn._xlws.SORT(_xlfn.UNIQUE(tblDataBrut[Site]))</f>
        <v>#NAME?</v>
      </c>
      <c r="N3" t="e" cm="1">
        <f t="array" aca="1" ref="N3:N4" ca="1">_xlfn._xlws.SORT(_xlfn.UNIQUE(tblDataBrut[Activité]))</f>
        <v>#NAME?</v>
      </c>
      <c r="P3" t="e" cm="1">
        <f t="array" aca="1" ref="P3:P5" ca="1">_xlfn._xlws.SORT(_xlfn.UNIQUE(tblDataBrut[Produit]))</f>
        <v>#NAME?</v>
      </c>
      <c r="R3" t="e" cm="1">
        <f t="array" aca="1" ref="R3:R4" ca="1">_xlfn._xlws.SORT(_xlfn.UNIQUE(tblDataBrut[Dispo]))</f>
        <v>#NAME?</v>
      </c>
      <c r="T3" s="4" t="e" cm="1">
        <f t="array" aca="1" ref="T3:T4" ca="1">_xlfn._xlws.SORT(_xlfn.UNIQUE(tblDataBrut[Date]))</f>
        <v>#NAME?</v>
      </c>
    </row>
    <row r="4" spans="1:20">
      <c r="N4" t="e">
        <f ca="1"/>
        <v>#NAME?</v>
      </c>
      <c r="P4" t="e">
        <f ca="1"/>
        <v>#NAME?</v>
      </c>
      <c r="R4" t="e">
        <f ca="1"/>
        <v>#NAME?</v>
      </c>
      <c r="T4" s="4" t="e">
        <f ca="1"/>
        <v>#NAME?</v>
      </c>
    </row>
    <row r="5" spans="1:20" ht="30" customHeight="1">
      <c r="A5" s="1" t="s">
        <v>59</v>
      </c>
      <c r="B5" s="2" t="s">
        <v>60</v>
      </c>
      <c r="C5" s="3" t="s">
        <v>61</v>
      </c>
      <c r="P5" t="e">
        <f ca="1"/>
        <v>#NAME?</v>
      </c>
      <c r="T5" s="4"/>
    </row>
    <row r="6" spans="1:20">
      <c r="A6" s="12" t="s">
        <v>62</v>
      </c>
      <c r="B6" s="13" t="s">
        <v>63</v>
      </c>
      <c r="C6" s="12" t="s">
        <v>64</v>
      </c>
      <c r="T6" s="4"/>
    </row>
    <row r="7" spans="1:20">
      <c r="A7" s="12" t="s">
        <v>65</v>
      </c>
      <c r="B7" s="14" t="s">
        <v>66</v>
      </c>
      <c r="C7" s="12" t="s">
        <v>67</v>
      </c>
      <c r="T7" s="4"/>
    </row>
    <row r="8" spans="1:20">
      <c r="A8" s="12" t="s">
        <v>68</v>
      </c>
      <c r="B8" s="14" t="s">
        <v>69</v>
      </c>
      <c r="C8" s="12" t="s">
        <v>70</v>
      </c>
      <c r="T8" s="4"/>
    </row>
    <row r="9" spans="1:20">
      <c r="A9" s="12" t="s">
        <v>71</v>
      </c>
      <c r="B9" s="15" t="s">
        <v>72</v>
      </c>
      <c r="C9" s="12" t="s">
        <v>73</v>
      </c>
      <c r="T9" s="4"/>
    </row>
    <row r="10" spans="1:20">
      <c r="T10" s="4"/>
    </row>
    <row r="11" spans="1:20">
      <c r="A11" s="61" t="s">
        <v>74</v>
      </c>
      <c r="B11" s="61"/>
      <c r="C11" s="61"/>
      <c r="D11" s="61"/>
      <c r="E11" s="61"/>
      <c r="F11" s="61"/>
      <c r="T11" s="4"/>
    </row>
    <row r="12" spans="1:20">
      <c r="T12" s="4"/>
    </row>
    <row r="13" spans="1:20">
      <c r="T13" s="4"/>
    </row>
    <row r="14" spans="1:20">
      <c r="T14" s="4"/>
    </row>
    <row r="15" spans="1:20">
      <c r="T15" s="4"/>
    </row>
    <row r="16" spans="1:20">
      <c r="T16" s="4"/>
    </row>
    <row r="17" spans="20:20">
      <c r="T17" s="4"/>
    </row>
    <row r="18" spans="20:20">
      <c r="T18" s="4"/>
    </row>
    <row r="19" spans="20:20">
      <c r="T19" s="4"/>
    </row>
    <row r="20" spans="20:20">
      <c r="T20" s="4"/>
    </row>
    <row r="21" spans="20:20">
      <c r="T21" s="4"/>
    </row>
    <row r="22" spans="20:20">
      <c r="T22" s="4"/>
    </row>
    <row r="23" spans="20:20">
      <c r="T23" s="4"/>
    </row>
    <row r="24" spans="20:20">
      <c r="T24" s="4"/>
    </row>
    <row r="25" spans="20:20">
      <c r="T25" s="4"/>
    </row>
    <row r="26" spans="20:20">
      <c r="T26" s="4"/>
    </row>
    <row r="27" spans="20:20">
      <c r="T27" s="4"/>
    </row>
    <row r="28" spans="20:20">
      <c r="T28" s="4"/>
    </row>
    <row r="29" spans="20:20">
      <c r="T29" s="4"/>
    </row>
    <row r="30" spans="20:20">
      <c r="T30" s="4"/>
    </row>
    <row r="31" spans="20:20">
      <c r="T31" s="4"/>
    </row>
    <row r="32" spans="20:20">
      <c r="T32" s="4"/>
    </row>
    <row r="33" spans="20:20">
      <c r="T33" s="4"/>
    </row>
    <row r="34" spans="20:20">
      <c r="T34" s="4"/>
    </row>
    <row r="35" spans="20:20">
      <c r="T35" s="4"/>
    </row>
    <row r="36" spans="20:20">
      <c r="T36" s="4"/>
    </row>
    <row r="37" spans="20:20">
      <c r="T37" s="4"/>
    </row>
    <row r="38" spans="20:20">
      <c r="T38" s="4"/>
    </row>
    <row r="39" spans="20:20">
      <c r="T39" s="4"/>
    </row>
    <row r="40" spans="20:20">
      <c r="T40" s="4"/>
    </row>
    <row r="41" spans="20:20">
      <c r="T41" s="4"/>
    </row>
    <row r="42" spans="20:20">
      <c r="T42" s="4"/>
    </row>
    <row r="43" spans="20:20">
      <c r="T43" s="4"/>
    </row>
    <row r="44" spans="20:20">
      <c r="T44" s="4"/>
    </row>
    <row r="45" spans="20:20">
      <c r="T45" s="4"/>
    </row>
    <row r="46" spans="20:20">
      <c r="T46" s="4"/>
    </row>
    <row r="47" spans="20:20">
      <c r="T47" s="4"/>
    </row>
    <row r="48" spans="20:20">
      <c r="T48" s="4"/>
    </row>
    <row r="49" spans="20:20">
      <c r="T49" s="4"/>
    </row>
    <row r="50" spans="20:20">
      <c r="T50" s="4"/>
    </row>
    <row r="51" spans="20:20">
      <c r="T51" s="4"/>
    </row>
    <row r="52" spans="20:20">
      <c r="T52" s="4"/>
    </row>
    <row r="53" spans="20:20">
      <c r="T53" s="4"/>
    </row>
    <row r="54" spans="20:20">
      <c r="T54" s="4"/>
    </row>
    <row r="55" spans="20:20">
      <c r="T55" s="4"/>
    </row>
    <row r="56" spans="20:20">
      <c r="T56" s="4"/>
    </row>
    <row r="57" spans="20:20">
      <c r="T57" s="4"/>
    </row>
    <row r="58" spans="20:20">
      <c r="T58" s="4"/>
    </row>
    <row r="59" spans="20:20">
      <c r="T59" s="4"/>
    </row>
    <row r="60" spans="20:20">
      <c r="T60" s="4"/>
    </row>
    <row r="61" spans="20:20">
      <c r="T61" s="4"/>
    </row>
    <row r="62" spans="20:20">
      <c r="T62" s="4"/>
    </row>
    <row r="63" spans="20:20">
      <c r="T63" s="4"/>
    </row>
    <row r="64" spans="20:20">
      <c r="T64" s="4"/>
    </row>
    <row r="65" spans="20:20">
      <c r="T65" s="4"/>
    </row>
    <row r="66" spans="20:20">
      <c r="T66" s="4"/>
    </row>
    <row r="67" spans="20:20">
      <c r="T67" s="4"/>
    </row>
    <row r="68" spans="20:20">
      <c r="T68" s="4"/>
    </row>
    <row r="69" spans="20:20">
      <c r="T69" s="4"/>
    </row>
    <row r="70" spans="20:20">
      <c r="T70" s="4"/>
    </row>
    <row r="71" spans="20:20">
      <c r="T71" s="4"/>
    </row>
    <row r="72" spans="20:20">
      <c r="T72" s="4"/>
    </row>
    <row r="73" spans="20:20">
      <c r="T73" s="4"/>
    </row>
    <row r="74" spans="20:20">
      <c r="T74" s="4"/>
    </row>
    <row r="75" spans="20:20">
      <c r="T75" s="4"/>
    </row>
    <row r="76" spans="20:20">
      <c r="T76" s="4"/>
    </row>
    <row r="77" spans="20:20">
      <c r="T77" s="4"/>
    </row>
    <row r="78" spans="20:20">
      <c r="T78" s="4"/>
    </row>
    <row r="79" spans="20:20">
      <c r="T79" s="4"/>
    </row>
    <row r="80" spans="20:20">
      <c r="T80" s="4"/>
    </row>
    <row r="81" spans="20:20">
      <c r="T81" s="4"/>
    </row>
    <row r="82" spans="20:20">
      <c r="T82" s="4"/>
    </row>
    <row r="83" spans="20:20">
      <c r="T83" s="4"/>
    </row>
    <row r="84" spans="20:20">
      <c r="T84" s="4"/>
    </row>
    <row r="85" spans="20:20">
      <c r="T85" s="4"/>
    </row>
    <row r="86" spans="20:20">
      <c r="T86" s="4"/>
    </row>
    <row r="87" spans="20:20">
      <c r="T87" s="4"/>
    </row>
    <row r="88" spans="20:20">
      <c r="T88" s="4"/>
    </row>
    <row r="89" spans="20:20">
      <c r="T89" s="4"/>
    </row>
    <row r="90" spans="20:20">
      <c r="T90" s="4"/>
    </row>
    <row r="91" spans="20:20">
      <c r="T91" s="4"/>
    </row>
    <row r="92" spans="20:20">
      <c r="T92" s="4"/>
    </row>
    <row r="93" spans="20:20">
      <c r="T93" s="4"/>
    </row>
    <row r="94" spans="20:20">
      <c r="T94" s="4"/>
    </row>
    <row r="95" spans="20:20">
      <c r="T95" s="4"/>
    </row>
    <row r="96" spans="20:20">
      <c r="T96" s="4"/>
    </row>
    <row r="97" spans="20:20">
      <c r="T97" s="4"/>
    </row>
    <row r="98" spans="20:20">
      <c r="T98" s="4"/>
    </row>
    <row r="99" spans="20:20">
      <c r="T99" s="4"/>
    </row>
    <row r="100" spans="20:20">
      <c r="T100" s="4"/>
    </row>
  </sheetData>
  <mergeCells count="3">
    <mergeCell ref="A1:F2"/>
    <mergeCell ref="A3:F3"/>
    <mergeCell ref="A11:F1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showGridLines="0" workbookViewId="0">
      <selection sqref="A1:L2"/>
    </sheetView>
  </sheetViews>
  <sheetFormatPr baseColWidth="10" defaultColWidth="8.796875" defaultRowHeight="13.8"/>
  <cols>
    <col min="1" max="2" width="14" customWidth="1"/>
    <col min="3" max="6" width="21" customWidth="1"/>
    <col min="7" max="7" width="30" customWidth="1"/>
    <col min="8" max="12" width="20" customWidth="1"/>
  </cols>
  <sheetData>
    <row r="1" spans="1:12">
      <c r="A1" s="32" t="s">
        <v>75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</row>
    <row r="2" spans="1:12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>
      <c r="A3" s="33" t="s">
        <v>76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</row>
    <row r="5" spans="1:12" ht="30" customHeight="1">
      <c r="A5" s="1" t="s">
        <v>77</v>
      </c>
      <c r="B5" s="2" t="s">
        <v>9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85</v>
      </c>
      <c r="K5" s="2" t="s">
        <v>11</v>
      </c>
      <c r="L5" s="3" t="s">
        <v>86</v>
      </c>
    </row>
    <row r="6" spans="1:12">
      <c r="A6">
        <v>8858120</v>
      </c>
      <c r="B6" t="s">
        <v>87</v>
      </c>
      <c r="C6" t="s">
        <v>88</v>
      </c>
      <c r="D6" t="s">
        <v>89</v>
      </c>
      <c r="E6" t="s">
        <v>90</v>
      </c>
      <c r="F6" t="s">
        <v>91</v>
      </c>
      <c r="G6" t="s">
        <v>92</v>
      </c>
      <c r="H6" t="s">
        <v>93</v>
      </c>
      <c r="I6" s="4">
        <v>46034</v>
      </c>
      <c r="J6" t="s">
        <v>94</v>
      </c>
      <c r="K6" t="s">
        <v>95</v>
      </c>
      <c r="L6" t="s">
        <v>96</v>
      </c>
    </row>
    <row r="7" spans="1:12">
      <c r="A7">
        <v>8858014</v>
      </c>
      <c r="B7" t="s">
        <v>87</v>
      </c>
      <c r="C7" t="s">
        <v>97</v>
      </c>
      <c r="D7" t="s">
        <v>98</v>
      </c>
      <c r="E7" t="s">
        <v>99</v>
      </c>
      <c r="F7" t="s">
        <v>100</v>
      </c>
      <c r="G7" t="s">
        <v>92</v>
      </c>
      <c r="H7" t="s">
        <v>101</v>
      </c>
      <c r="I7" s="4">
        <v>45665</v>
      </c>
      <c r="J7" t="s">
        <v>102</v>
      </c>
      <c r="K7" t="s">
        <v>103</v>
      </c>
      <c r="L7" t="s">
        <v>104</v>
      </c>
    </row>
    <row r="8" spans="1:12">
      <c r="A8">
        <v>123456</v>
      </c>
      <c r="B8" t="s">
        <v>25</v>
      </c>
      <c r="C8" t="s">
        <v>105</v>
      </c>
      <c r="D8" t="s">
        <v>106</v>
      </c>
      <c r="E8" t="s">
        <v>49</v>
      </c>
      <c r="F8" t="s">
        <v>36</v>
      </c>
      <c r="G8" t="s">
        <v>107</v>
      </c>
      <c r="H8" t="s">
        <v>108</v>
      </c>
      <c r="I8" s="4">
        <v>43831</v>
      </c>
      <c r="J8" t="s">
        <v>109</v>
      </c>
      <c r="K8" t="s">
        <v>110</v>
      </c>
      <c r="L8" t="s">
        <v>110</v>
      </c>
    </row>
  </sheetData>
  <mergeCells count="2">
    <mergeCell ref="A1:L2"/>
    <mergeCell ref="A3:L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5"/>
  <sheetViews>
    <sheetView showGridLines="0" workbookViewId="0">
      <selection sqref="A1:B2"/>
    </sheetView>
  </sheetViews>
  <sheetFormatPr baseColWidth="10" defaultColWidth="8.796875" defaultRowHeight="13.8"/>
  <cols>
    <col min="1" max="1" width="18" customWidth="1"/>
    <col min="2" max="2" width="110" customWidth="1"/>
  </cols>
  <sheetData>
    <row r="1" spans="1:2">
      <c r="A1" s="32" t="s">
        <v>111</v>
      </c>
      <c r="B1" s="32"/>
    </row>
    <row r="2" spans="1:2">
      <c r="A2" s="32"/>
      <c r="B2" s="32"/>
    </row>
    <row r="3" spans="1:2">
      <c r="A3" s="33" t="s">
        <v>112</v>
      </c>
      <c r="B3" s="33"/>
    </row>
    <row r="5" spans="1:2" ht="37.950000000000003" customHeight="1">
      <c r="A5" s="24" t="s">
        <v>53</v>
      </c>
      <c r="B5" s="25" t="s">
        <v>113</v>
      </c>
    </row>
    <row r="6" spans="1:2" ht="37.950000000000003" customHeight="1">
      <c r="A6" s="24" t="s">
        <v>114</v>
      </c>
      <c r="B6" s="26" t="s">
        <v>115</v>
      </c>
    </row>
    <row r="7" spans="1:2" ht="37.950000000000003" customHeight="1">
      <c r="A7" s="24" t="s">
        <v>116</v>
      </c>
      <c r="B7" s="26" t="s">
        <v>117</v>
      </c>
    </row>
    <row r="8" spans="1:2" ht="37.950000000000003" customHeight="1">
      <c r="A8" s="24" t="s">
        <v>118</v>
      </c>
      <c r="B8" s="26" t="s">
        <v>119</v>
      </c>
    </row>
    <row r="9" spans="1:2" ht="37.950000000000003" customHeight="1">
      <c r="A9" s="24" t="s">
        <v>120</v>
      </c>
      <c r="B9" s="27" t="s">
        <v>121</v>
      </c>
    </row>
    <row r="11" spans="1:2" ht="30" customHeight="1">
      <c r="A11" s="1" t="s">
        <v>122</v>
      </c>
      <c r="B11" s="3" t="s">
        <v>123</v>
      </c>
    </row>
    <row r="12" spans="1:2">
      <c r="A12" s="28" t="s">
        <v>124</v>
      </c>
      <c r="B12" s="30" t="s">
        <v>125</v>
      </c>
    </row>
    <row r="13" spans="1:2">
      <c r="A13" s="28"/>
      <c r="B13" s="30" t="s">
        <v>126</v>
      </c>
    </row>
    <row r="14" spans="1:2">
      <c r="A14" s="28"/>
      <c r="B14" s="30" t="s">
        <v>127</v>
      </c>
    </row>
    <row r="15" spans="1:2">
      <c r="A15" s="28"/>
      <c r="B15" s="30" t="s">
        <v>128</v>
      </c>
    </row>
    <row r="16" spans="1:2">
      <c r="A16" s="28"/>
      <c r="B16" s="30" t="s">
        <v>129</v>
      </c>
    </row>
    <row r="17" spans="1:2">
      <c r="A17" s="28"/>
      <c r="B17" s="30" t="s">
        <v>130</v>
      </c>
    </row>
    <row r="18" spans="1:2">
      <c r="A18" s="28"/>
      <c r="B18" s="30" t="s">
        <v>131</v>
      </c>
    </row>
    <row r="19" spans="1:2">
      <c r="A19" s="28"/>
      <c r="B19" s="30" t="s">
        <v>132</v>
      </c>
    </row>
    <row r="20" spans="1:2">
      <c r="A20" s="28"/>
      <c r="B20" s="30" t="s">
        <v>133</v>
      </c>
    </row>
    <row r="21" spans="1:2">
      <c r="A21" s="28"/>
      <c r="B21" s="30" t="s">
        <v>134</v>
      </c>
    </row>
    <row r="22" spans="1:2">
      <c r="A22" s="28"/>
      <c r="B22" s="30" t="s">
        <v>135</v>
      </c>
    </row>
    <row r="23" spans="1:2">
      <c r="A23" s="28"/>
      <c r="B23" s="30" t="s">
        <v>136</v>
      </c>
    </row>
    <row r="24" spans="1:2">
      <c r="A24" s="28"/>
      <c r="B24" s="30" t="s">
        <v>137</v>
      </c>
    </row>
    <row r="25" spans="1:2">
      <c r="A25" s="28"/>
      <c r="B25" s="30" t="s">
        <v>138</v>
      </c>
    </row>
    <row r="26" spans="1:2">
      <c r="A26" s="28"/>
      <c r="B26" s="30" t="s">
        <v>139</v>
      </c>
    </row>
    <row r="27" spans="1:2">
      <c r="A27" s="28"/>
      <c r="B27" s="30" t="s">
        <v>140</v>
      </c>
    </row>
    <row r="28" spans="1:2">
      <c r="A28" s="28"/>
      <c r="B28" s="30" t="s">
        <v>141</v>
      </c>
    </row>
    <row r="29" spans="1:2">
      <c r="A29" s="28"/>
      <c r="B29" s="30" t="s">
        <v>142</v>
      </c>
    </row>
    <row r="30" spans="1:2">
      <c r="A30" s="28"/>
      <c r="B30" s="30" t="s">
        <v>143</v>
      </c>
    </row>
    <row r="31" spans="1:2">
      <c r="A31" s="28"/>
      <c r="B31" s="30" t="s">
        <v>144</v>
      </c>
    </row>
    <row r="32" spans="1:2">
      <c r="A32" s="28"/>
      <c r="B32" s="30" t="s">
        <v>145</v>
      </c>
    </row>
    <row r="33" spans="1:2">
      <c r="A33" s="28"/>
      <c r="B33" s="30" t="s">
        <v>146</v>
      </c>
    </row>
    <row r="34" spans="1:2">
      <c r="A34" s="28"/>
      <c r="B34" s="30" t="s">
        <v>147</v>
      </c>
    </row>
    <row r="35" spans="1:2">
      <c r="A35" s="28"/>
      <c r="B35" s="30" t="s">
        <v>148</v>
      </c>
    </row>
    <row r="36" spans="1:2">
      <c r="A36" s="28"/>
      <c r="B36" s="30" t="s">
        <v>149</v>
      </c>
    </row>
    <row r="37" spans="1:2">
      <c r="A37" s="28"/>
      <c r="B37" s="30" t="s">
        <v>150</v>
      </c>
    </row>
    <row r="38" spans="1:2">
      <c r="A38" s="28"/>
      <c r="B38" s="30" t="s">
        <v>151</v>
      </c>
    </row>
    <row r="39" spans="1:2">
      <c r="A39" s="28"/>
      <c r="B39" s="30"/>
    </row>
    <row r="40" spans="1:2">
      <c r="A40" s="28"/>
      <c r="B40" s="30"/>
    </row>
    <row r="41" spans="1:2">
      <c r="A41" s="28" t="s">
        <v>152</v>
      </c>
      <c r="B41" s="30" t="s">
        <v>125</v>
      </c>
    </row>
    <row r="42" spans="1:2">
      <c r="A42" s="28"/>
      <c r="B42" s="30" t="s">
        <v>153</v>
      </c>
    </row>
    <row r="43" spans="1:2">
      <c r="A43" s="28"/>
      <c r="B43" s="30" t="s">
        <v>154</v>
      </c>
    </row>
    <row r="44" spans="1:2">
      <c r="A44" s="28"/>
      <c r="B44" s="30" t="s">
        <v>150</v>
      </c>
    </row>
    <row r="45" spans="1:2">
      <c r="A45" s="28"/>
      <c r="B45" s="30" t="s">
        <v>155</v>
      </c>
    </row>
    <row r="46" spans="1:2">
      <c r="A46" s="28"/>
      <c r="B46" s="30"/>
    </row>
    <row r="47" spans="1:2">
      <c r="A47" s="28"/>
      <c r="B47" s="30"/>
    </row>
    <row r="48" spans="1:2">
      <c r="A48" s="28" t="s">
        <v>156</v>
      </c>
      <c r="B48" s="30" t="s">
        <v>125</v>
      </c>
    </row>
    <row r="49" spans="1:2">
      <c r="A49" s="28"/>
      <c r="B49" s="30" t="s">
        <v>153</v>
      </c>
    </row>
    <row r="50" spans="1:2">
      <c r="A50" s="28"/>
      <c r="B50" s="30" t="s">
        <v>157</v>
      </c>
    </row>
    <row r="51" spans="1:2">
      <c r="A51" s="28"/>
      <c r="B51" s="30" t="s">
        <v>150</v>
      </c>
    </row>
    <row r="52" spans="1:2">
      <c r="A52" s="28"/>
      <c r="B52" s="30" t="s">
        <v>155</v>
      </c>
    </row>
    <row r="53" spans="1:2">
      <c r="A53" s="28"/>
      <c r="B53" s="30"/>
    </row>
    <row r="54" spans="1:2">
      <c r="A54" s="28"/>
      <c r="B54" s="30"/>
    </row>
    <row r="55" spans="1:2" ht="14.4">
      <c r="A55" s="29" t="s">
        <v>158</v>
      </c>
      <c r="B55" s="31" t="s">
        <v>159</v>
      </c>
    </row>
  </sheetData>
  <mergeCells count="2">
    <mergeCell ref="A1:B2"/>
    <mergeCell ref="A3:B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2"/>
  <sheetViews>
    <sheetView showGridLines="0" tabSelected="1" workbookViewId="0">
      <selection activeCell="E19" sqref="E19"/>
    </sheetView>
  </sheetViews>
  <sheetFormatPr baseColWidth="10" defaultColWidth="8.796875" defaultRowHeight="13.8"/>
  <cols>
    <col min="1" max="2" width="18" customWidth="1"/>
    <col min="3" max="3" width="20" customWidth="1"/>
    <col min="4" max="9" width="21" customWidth="1"/>
  </cols>
  <sheetData>
    <row r="1" spans="1:9">
      <c r="A1" s="32" t="s">
        <v>160</v>
      </c>
      <c r="B1" s="32"/>
      <c r="C1" s="32"/>
      <c r="D1" s="32"/>
      <c r="E1" s="32"/>
      <c r="F1" s="32"/>
      <c r="G1" s="32"/>
      <c r="H1" s="32"/>
      <c r="I1" s="32"/>
    </row>
    <row r="2" spans="1:9">
      <c r="A2" s="32"/>
      <c r="B2" s="32"/>
      <c r="C2" s="32"/>
      <c r="D2" s="32"/>
      <c r="E2" s="32"/>
      <c r="F2" s="32"/>
      <c r="G2" s="32"/>
      <c r="H2" s="32"/>
      <c r="I2" s="32"/>
    </row>
    <row r="3" spans="1:9">
      <c r="A3" s="33" t="s">
        <v>161</v>
      </c>
      <c r="B3" s="33"/>
      <c r="C3" s="33"/>
      <c r="D3" s="33"/>
      <c r="E3" s="33"/>
      <c r="F3" s="33"/>
      <c r="G3" s="33"/>
      <c r="H3" s="33"/>
      <c r="I3" s="33"/>
    </row>
    <row r="5" spans="1:9" ht="30" customHeight="1">
      <c r="A5" s="1" t="s">
        <v>162</v>
      </c>
      <c r="B5" s="2" t="s">
        <v>43</v>
      </c>
      <c r="C5" s="2" t="s">
        <v>163</v>
      </c>
      <c r="D5" s="2" t="s">
        <v>164</v>
      </c>
      <c r="E5" s="2" t="s">
        <v>17</v>
      </c>
      <c r="F5" s="2" t="s">
        <v>165</v>
      </c>
      <c r="G5" s="2" t="s">
        <v>166</v>
      </c>
      <c r="H5" s="2" t="s">
        <v>15</v>
      </c>
      <c r="I5" s="3" t="s">
        <v>42</v>
      </c>
    </row>
    <row r="6" spans="1:9">
      <c r="A6">
        <v>123456</v>
      </c>
      <c r="B6" t="s">
        <v>49</v>
      </c>
      <c r="C6" s="5">
        <v>46252.091099537036</v>
      </c>
      <c r="D6" t="s">
        <v>29</v>
      </c>
      <c r="E6" t="s">
        <v>30</v>
      </c>
      <c r="F6" t="s">
        <v>50</v>
      </c>
      <c r="G6" t="s">
        <v>47</v>
      </c>
      <c r="H6" t="s">
        <v>31</v>
      </c>
      <c r="I6" t="s">
        <v>48</v>
      </c>
    </row>
    <row r="7" spans="1:9">
      <c r="A7">
        <v>123456</v>
      </c>
      <c r="B7" t="s">
        <v>49</v>
      </c>
      <c r="C7" s="5">
        <v>46252.091400451391</v>
      </c>
      <c r="D7" t="s">
        <v>26</v>
      </c>
      <c r="E7" t="s">
        <v>27</v>
      </c>
      <c r="G7" t="s">
        <v>47</v>
      </c>
      <c r="I7" t="s">
        <v>48</v>
      </c>
    </row>
    <row r="8" spans="1:9">
      <c r="A8">
        <v>1234567</v>
      </c>
      <c r="B8" t="s">
        <v>49</v>
      </c>
      <c r="C8" s="5">
        <v>46252.091608796298</v>
      </c>
      <c r="D8" t="s">
        <v>26</v>
      </c>
      <c r="E8" t="s">
        <v>27</v>
      </c>
      <c r="G8" t="s">
        <v>47</v>
      </c>
      <c r="I8" t="s">
        <v>48</v>
      </c>
    </row>
    <row r="9" spans="1:9">
      <c r="A9">
        <v>123</v>
      </c>
      <c r="B9" t="s">
        <v>49</v>
      </c>
      <c r="C9" s="5">
        <v>46252.47215277778</v>
      </c>
      <c r="D9" t="s">
        <v>29</v>
      </c>
      <c r="E9" t="s">
        <v>32</v>
      </c>
      <c r="F9" t="s">
        <v>50</v>
      </c>
      <c r="G9" t="s">
        <v>47</v>
      </c>
      <c r="H9" t="s">
        <v>31</v>
      </c>
      <c r="I9" t="s">
        <v>48</v>
      </c>
    </row>
    <row r="10" spans="1:9">
      <c r="A10">
        <v>1</v>
      </c>
      <c r="B10" t="s">
        <v>49</v>
      </c>
      <c r="C10" s="5">
        <v>46252.476793981485</v>
      </c>
      <c r="D10" t="s">
        <v>29</v>
      </c>
      <c r="E10" t="s">
        <v>30</v>
      </c>
      <c r="F10" t="s">
        <v>50</v>
      </c>
      <c r="G10" t="s">
        <v>47</v>
      </c>
      <c r="H10" t="s">
        <v>31</v>
      </c>
      <c r="I10" t="s">
        <v>48</v>
      </c>
    </row>
    <row r="11" spans="1:9">
      <c r="A11">
        <v>12</v>
      </c>
      <c r="B11" t="s">
        <v>49</v>
      </c>
      <c r="C11" s="5">
        <v>46252.477002314816</v>
      </c>
      <c r="D11" t="s">
        <v>29</v>
      </c>
      <c r="E11" t="s">
        <v>30</v>
      </c>
      <c r="F11" t="s">
        <v>50</v>
      </c>
      <c r="G11" t="s">
        <v>47</v>
      </c>
      <c r="H11" t="s">
        <v>31</v>
      </c>
      <c r="I11" t="s">
        <v>48</v>
      </c>
    </row>
    <row r="12" spans="1:9">
      <c r="A12">
        <v>123456789</v>
      </c>
      <c r="B12" t="s">
        <v>49</v>
      </c>
      <c r="C12" s="5">
        <v>46253.686215277776</v>
      </c>
      <c r="D12" t="s">
        <v>29</v>
      </c>
      <c r="E12" t="s">
        <v>30</v>
      </c>
      <c r="F12" t="s">
        <v>50</v>
      </c>
      <c r="G12" t="s">
        <v>47</v>
      </c>
      <c r="H12" t="s">
        <v>31</v>
      </c>
      <c r="I12" t="s">
        <v>56</v>
      </c>
    </row>
  </sheetData>
  <mergeCells count="2">
    <mergeCell ref="A1:I2"/>
    <mergeCell ref="A3:I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Suivi traitement</vt:lpstr>
      <vt:lpstr>Statistique</vt:lpstr>
      <vt:lpstr>Stat par agent</vt:lpstr>
      <vt:lpstr>Data brut</vt:lpstr>
      <vt:lpstr>Paramètres</vt:lpstr>
      <vt:lpstr>Annuaire</vt:lpstr>
      <vt:lpstr>Guide Power Query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Youssef</cp:lastModifiedBy>
  <dcterms:modified xsi:type="dcterms:W3CDTF">2026-08-19T17:11:27Z</dcterms:modified>
</cp:coreProperties>
</file>