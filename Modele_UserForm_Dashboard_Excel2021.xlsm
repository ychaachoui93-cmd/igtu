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16_G\Desktop\Formulaire OCT\Kit\Kit_UserForm_Dashboard_Excel2021majinstallation\"/>
    </mc:Choice>
  </mc:AlternateContent>
  <xr:revisionPtr revIDLastSave="0" documentId="13_ncr:1_{8C104FF2-2341-4338-9341-1B4B9769543F}" xr6:coauthVersionLast="47" xr6:coauthVersionMax="47" xr10:uidLastSave="{00000000-0000-0000-0000-000000000000}"/>
  <bookViews>
    <workbookView xWindow="-108" yWindow="-108" windowWidth="23256" windowHeight="13896" activeTab="2" xr2:uid="{00000000-000D-0000-FFFF-FFFF00000000}"/>
  </bookViews>
  <sheets>
    <sheet name="Accueil" sheetId="1" r:id="rId1"/>
    <sheet name="Parametres" sheetId="2" r:id="rId2"/>
    <sheet name="Dashboard" sheetId="3" r:id="rId3"/>
    <sheet name="DATA_Temp" sheetId="4" state="veryHidden" r:id="rId4"/>
    <sheet name="DATA_Historique" sheetId="5" state="veryHidden" r:id="rId5"/>
  </sheets>
  <functionGroups builtInGroupCount="19"/>
  <calcPr calcId="181029"/>
  <extLs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A16" i="3" l="1"/>
  <c r="A17" i="3"/>
  <c r="A18" i="3"/>
  <c r="A19" i="3"/>
  <c r="C19" i="3" s="1"/>
  <c r="A20" i="3"/>
  <c r="C20" i="3" s="1"/>
  <c r="A21" i="3"/>
  <c r="A22" i="3"/>
  <c r="A23" i="3"/>
  <c r="A24" i="3"/>
  <c r="A25" i="3"/>
  <c r="C25" i="3" s="1"/>
  <c r="A26" i="3"/>
  <c r="C26" i="3" s="1"/>
  <c r="A27" i="3"/>
  <c r="C27" i="3" s="1"/>
  <c r="A28" i="3"/>
  <c r="A29" i="3"/>
  <c r="A30" i="3"/>
  <c r="A31" i="3"/>
  <c r="A32" i="3"/>
  <c r="A33" i="3"/>
  <c r="A34" i="3"/>
  <c r="A35" i="3"/>
  <c r="A36" i="3"/>
  <c r="A37" i="3"/>
  <c r="C37" i="3" s="1"/>
  <c r="A38" i="3"/>
  <c r="B38" i="3" s="1"/>
  <c r="A39" i="3"/>
  <c r="B39" i="3" s="1"/>
  <c r="A40" i="3"/>
  <c r="A41" i="3"/>
  <c r="A42" i="3"/>
  <c r="A43" i="3"/>
  <c r="A44" i="3"/>
  <c r="C44" i="3" s="1"/>
  <c r="A45" i="3"/>
  <c r="A15" i="3"/>
  <c r="C15" i="3" s="1"/>
  <c r="C16" i="3"/>
  <c r="C21" i="3"/>
  <c r="C22" i="3"/>
  <c r="C23" i="3"/>
  <c r="C24" i="3"/>
  <c r="C28" i="3"/>
  <c r="C29" i="3"/>
  <c r="C30" i="3"/>
  <c r="C31" i="3"/>
  <c r="C32" i="3"/>
  <c r="B33" i="3"/>
  <c r="C34" i="3"/>
  <c r="C35" i="3"/>
  <c r="C36" i="3"/>
  <c r="C41" i="3"/>
  <c r="C43" i="3"/>
  <c r="C45" i="3"/>
  <c r="B42" i="3"/>
  <c r="C40" i="3"/>
  <c r="E37" i="3"/>
  <c r="F37" i="3" s="1"/>
  <c r="E36" i="3"/>
  <c r="F36" i="3" s="1"/>
  <c r="E35" i="3"/>
  <c r="F35" i="3" s="1"/>
  <c r="C18" i="3"/>
  <c r="C17" i="3"/>
  <c r="K6" i="3"/>
  <c r="H6" i="3"/>
  <c r="E6" i="3"/>
  <c r="B6" i="3"/>
  <c r="B29" i="3" l="1"/>
  <c r="B21" i="3"/>
  <c r="B17" i="3"/>
  <c r="B25" i="3"/>
  <c r="C39" i="3"/>
  <c r="C33" i="3"/>
  <c r="B43" i="3"/>
  <c r="C38" i="3"/>
  <c r="C42" i="3"/>
  <c r="B36" i="3"/>
  <c r="B18" i="3"/>
  <c r="B22" i="3"/>
  <c r="B26" i="3"/>
  <c r="B30" i="3"/>
  <c r="B34" i="3"/>
  <c r="B40" i="3"/>
  <c r="B44" i="3"/>
  <c r="B37" i="3"/>
  <c r="B15" i="3"/>
  <c r="B19" i="3"/>
  <c r="B23" i="3"/>
  <c r="B27" i="3"/>
  <c r="B31" i="3"/>
  <c r="B35" i="3"/>
  <c r="B41" i="3"/>
  <c r="B45" i="3"/>
  <c r="B16" i="3"/>
  <c r="B20" i="3"/>
  <c r="B24" i="3"/>
  <c r="B28" i="3"/>
  <c r="B32" i="3"/>
</calcChain>
</file>

<file path=xl/sharedStrings.xml><?xml version="1.0" encoding="utf-8"?>
<sst xmlns="http://schemas.openxmlformats.org/spreadsheetml/2006/main" count="213" uniqueCount="123">
  <si>
    <t>Formulaire de saisie &amp; Dashboard</t>
  </si>
  <si>
    <t>Étape</t>
  </si>
  <si>
    <t>Action</t>
  </si>
  <si>
    <t>Flux sécurisé</t>
  </si>
  <si>
    <t>1</t>
  </si>
  <si>
    <t>Enregistrer ce classeur au format .xlsm.</t>
  </si>
  <si>
    <t>Ajouter</t>
  </si>
  <si>
    <t>→</t>
  </si>
  <si>
    <t>DATA_Temp</t>
  </si>
  <si>
    <t>Enregistrer</t>
  </si>
  <si>
    <t>CSV mensuel</t>
  </si>
  <si>
    <t>2</t>
  </si>
  <si>
    <t>Importer les cinq modules .bas fournis dans le kit.</t>
  </si>
  <si>
    <t>Contrôles</t>
  </si>
  <si>
    <t>Affichage immédiat</t>
  </si>
  <si>
    <t>Index des doublons</t>
  </si>
  <si>
    <t>Écriture atomique</t>
  </si>
  <si>
    <t>3</t>
  </si>
  <si>
    <t>Autoriser l'accès au projet VBA puis lancer InstallerUserFormComplet.</t>
  </si>
  <si>
    <t>Aucune écriture CSV</t>
  </si>
  <si>
    <t>Lignes modifiables</t>
  </si>
  <si>
    <t>Validation finale</t>
  </si>
  <si>
    <t>UTF-8</t>
  </si>
  <si>
    <t>4</t>
  </si>
  <si>
    <t>Coller les codes ThisWorkbook/Dashboard et compiler VBAProject.</t>
  </si>
  <si>
    <t>5</t>
  </si>
  <si>
    <t>Enregistrer, rouvrir puis lancer OuvrirFormulaireSaisie.</t>
  </si>
  <si>
    <t>Dashboard</t>
  </si>
  <si>
    <t>←</t>
  </si>
  <si>
    <t>Historique CSV</t>
  </si>
  <si>
    <t>+</t>
  </si>
  <si>
    <t>Lignes en attente</t>
  </si>
  <si>
    <t>Jour / semaine / mois</t>
  </si>
  <si>
    <t>Raccourcis VBA</t>
  </si>
  <si>
    <t>Macro</t>
  </si>
  <si>
    <t>Usage</t>
  </si>
  <si>
    <t>Quand l'utiliser</t>
  </si>
  <si>
    <t>InstallerUserFormComplet</t>
  </si>
  <si>
    <t>Crée et organise automatiquement UserForm1</t>
  </si>
  <si>
    <t>Installation unique</t>
  </si>
  <si>
    <t>OuvrirFormulaireSaisie</t>
  </si>
  <si>
    <t>Ouvre le formulaire en mode non modal</t>
  </si>
  <si>
    <t>Saisie</t>
  </si>
  <si>
    <t>AfficherDashboard</t>
  </si>
  <si>
    <t>Actualise et affiche le dashboard</t>
  </si>
  <si>
    <t>Suivi</t>
  </si>
  <si>
    <t>ActualiserDashboard</t>
  </si>
  <si>
    <t>Recharge les CSV et recalcule les indicateurs</t>
  </si>
  <si>
    <t>Contrôle</t>
  </si>
  <si>
    <t>Activite</t>
  </si>
  <si>
    <t>TypeDossierActif</t>
  </si>
  <si>
    <t>DispoActif</t>
  </si>
  <si>
    <t>Produit</t>
  </si>
  <si>
    <t>TypeDossier</t>
  </si>
  <si>
    <t>Decision</t>
  </si>
  <si>
    <t>Dispo</t>
  </si>
  <si>
    <t>Configuration</t>
  </si>
  <si>
    <t>Octroi Classique</t>
  </si>
  <si>
    <t>OUI</t>
  </si>
  <si>
    <t>CLA</t>
  </si>
  <si>
    <t>1ère étude</t>
  </si>
  <si>
    <t>ACC VALIDE</t>
  </si>
  <si>
    <t>Live Console</t>
  </si>
  <si>
    <t>NON</t>
  </si>
  <si>
    <t>CSA Cdiscount</t>
  </si>
  <si>
    <t>RP</t>
  </si>
  <si>
    <t>Incomplet</t>
  </si>
  <si>
    <t>Modifier Q2 uniquement si le dossier réseau change.</t>
  </si>
  <si>
    <t>Live CLA</t>
  </si>
  <si>
    <t>PPR</t>
  </si>
  <si>
    <t>REFUSE</t>
  </si>
  <si>
    <t>AVENANT</t>
  </si>
  <si>
    <t>SUSPENDU</t>
  </si>
  <si>
    <t>Cartes Directes</t>
  </si>
  <si>
    <t>CCL Cdiscount</t>
  </si>
  <si>
    <t>Lydia/BANKIN</t>
  </si>
  <si>
    <t>MC DC CASINO</t>
  </si>
  <si>
    <t>PPC</t>
  </si>
  <si>
    <t>CCL SFR</t>
  </si>
  <si>
    <t>CCL/12/24/36</t>
  </si>
  <si>
    <t>Live Carte</t>
  </si>
  <si>
    <t>Live CCL</t>
  </si>
  <si>
    <t>Live CDP</t>
  </si>
  <si>
    <t>Trade In</t>
  </si>
  <si>
    <t>Dashboard des réalisations</t>
  </si>
  <si>
    <t>Agent</t>
  </si>
  <si>
    <t>Dernière actualisation</t>
  </si>
  <si>
    <t>Aujourd'hui</t>
  </si>
  <si>
    <t>Semaine en cours</t>
  </si>
  <si>
    <t>Mois en cours</t>
  </si>
  <si>
    <t>En attente</t>
  </si>
  <si>
    <t>Jour à détailler</t>
  </si>
  <si>
    <t>Saisissez un jour du mois courant : le détail s'actualise avec le code de la feuille Dashboard.</t>
  </si>
  <si>
    <t>Réalisations par jour — mois courant</t>
  </si>
  <si>
    <t>Date</t>
  </si>
  <si>
    <t>Enregistrées</t>
  </si>
  <si>
    <t>Activité</t>
  </si>
  <si>
    <t>État</t>
  </si>
  <si>
    <t>Numéro dossier</t>
  </si>
  <si>
    <t>Date/Heure</t>
  </si>
  <si>
    <t>Type dossier</t>
  </si>
  <si>
    <t>Décision</t>
  </si>
  <si>
    <t>Commentaire</t>
  </si>
  <si>
    <t>IDTemp</t>
  </si>
  <si>
    <t>NumeroDossier</t>
  </si>
  <si>
    <t>PersoID</t>
  </si>
  <si>
    <t>DateTime</t>
  </si>
  <si>
    <t>Etat</t>
  </si>
  <si>
    <t>CleDoublon</t>
  </si>
  <si>
    <t>DateJour</t>
  </si>
  <si>
    <t>SemaineISO</t>
  </si>
  <si>
    <t>Mois</t>
  </si>
  <si>
    <t>SourceCSV</t>
  </si>
  <si>
    <t>C:\Users\E16_G\Desktop\Formulaire OCT\Source</t>
  </si>
  <si>
    <t>E16_G</t>
  </si>
  <si>
    <t>ok</t>
  </si>
  <si>
    <t>123456_x001E_e16_g_x001E_octroi classique_x001E_cla_x001E_1ère étude_x001E_acc valide_x001E_oui_x001E_ok</t>
  </si>
  <si>
    <t>Detail du 18/08/2026</t>
  </si>
  <si>
    <t>2026_08</t>
  </si>
  <si>
    <t>C:\Users\E16_G\Desktop\Formulaire OCT\Source\CSV\2026_08\E16_G.csv</t>
  </si>
  <si>
    <t>ENREGISTREE</t>
  </si>
  <si>
    <t>123456_x001E_e16_g_x001E_live console_x001E_ccl sfr_x001E__x001E_acc valide_x001E__x001E_ok</t>
  </si>
  <si>
    <t>1234567_x001E_e16_g_x001E_live console_x001E_ccl sfr_x001E__x001E_acc valide_x001E__x001E_ok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</si>
</sst>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/mm/yyyy\ hh:mm:ss"/>
    <numFmt numFmtId="165" formatCode="dd/mm/yyyy"/>
  </numFmts>
  <fonts count="10">
    <font>
      <sz val="11"/>
      <name val="Carlito"/>
    </font>
    <font>
      <b/>
      <sz val="11"/>
      <color rgb="FFFFFFFF"/>
      <name val="Carlito"/>
    </font>
    <font>
      <b/>
      <sz val="11"/>
      <color rgb="FF17365D"/>
      <name val="Carlito"/>
    </font>
    <font>
      <b/>
      <sz val="11"/>
      <color rgb="FFFFFFFF"/>
      <name val="Aptos"/>
    </font>
    <font>
      <sz val="11"/>
      <name val="Aptos"/>
    </font>
    <font>
      <b/>
      <sz val="11"/>
      <color rgb="FF17365D"/>
      <name val="Aptos"/>
    </font>
    <font>
      <b/>
      <sz val="11"/>
      <color rgb="FF9C0006"/>
      <name val="Aptos"/>
    </font>
    <font>
      <b/>
      <sz val="11"/>
      <color rgb="FFFFFFFF"/>
      <name val="Aptos Display"/>
    </font>
    <font>
      <sz val="11"/>
      <color rgb="FF17365D"/>
      <name val="Carlito"/>
    </font>
    <font>
      <i/>
      <sz val="11"/>
      <color rgb="FF1F2937"/>
      <name val="Carlito"/>
    </font>
  </fonts>
  <fills count="9">
    <fill>
      <patternFill patternType="none"/>
    </fill>
    <fill>
      <patternFill patternType="gray125"/>
    </fill>
    <fill>
      <patternFill patternType="solid">
        <fgColor rgb="FF17365D"/>
      </patternFill>
    </fill>
    <fill>
      <patternFill patternType="solid">
        <fgColor rgb="FFD9EAF7"/>
      </patternFill>
    </fill>
    <fill>
      <patternFill patternType="solid">
        <fgColor rgb="FFF8FAFC"/>
      </patternFill>
    </fill>
    <fill>
      <patternFill patternType="solid">
        <fgColor rgb="FF2F75B5"/>
      </patternFill>
    </fill>
    <fill>
      <patternFill patternType="solid">
        <fgColor rgb="FFFFF7D6"/>
      </patternFill>
    </fill>
    <fill>
      <patternFill patternType="solid">
        <fgColor rgb="FFFCE4D6"/>
      </patternFill>
    </fill>
    <fill>
      <patternFill patternType="solid">
        <fgColor rgb="FFE2F0D9"/>
      </patternFill>
    </fill>
  </fills>
  <borders count="25">
    <border>
      <left/>
      <right/>
      <top/>
      <bottom/>
      <diagonal/>
    </border>
    <border>
      <left style="thin">
        <color rgb="FFCBD5E1"/>
      </left>
      <right style="thin">
        <color rgb="FFCBD5E1"/>
      </right>
      <top style="thin">
        <color rgb="FFCBD5E1"/>
      </top>
      <bottom style="thin">
        <color rgb="FFCBD5E1"/>
      </bottom>
      <diagonal/>
    </border>
    <border>
      <left style="medium">
        <color rgb="FFC65911"/>
      </left>
      <right/>
      <top style="medium">
        <color rgb="FFC65911"/>
      </top>
      <bottom/>
      <diagonal/>
    </border>
    <border>
      <left/>
      <right/>
      <top style="medium">
        <color rgb="FFC65911"/>
      </top>
      <bottom/>
      <diagonal/>
    </border>
    <border>
      <left/>
      <right style="medium">
        <color rgb="FFC65911"/>
      </right>
      <top style="medium">
        <color rgb="FFC65911"/>
      </top>
      <bottom/>
      <diagonal/>
    </border>
    <border>
      <left style="medium">
        <color rgb="FFC65911"/>
      </left>
      <right/>
      <top/>
      <bottom style="medium">
        <color rgb="FFC65911"/>
      </bottom>
      <diagonal/>
    </border>
    <border>
      <left/>
      <right/>
      <top/>
      <bottom style="medium">
        <color rgb="FFC65911"/>
      </bottom>
      <diagonal/>
    </border>
    <border>
      <left/>
      <right style="medium">
        <color rgb="FFC65911"/>
      </right>
      <top/>
      <bottom style="medium">
        <color rgb="FFC65911"/>
      </bottom>
      <diagonal/>
    </border>
    <border>
      <left style="medium">
        <color rgb="FF2F75B5"/>
      </left>
      <right/>
      <top style="medium">
        <color rgb="FF2F75B5"/>
      </top>
      <bottom/>
      <diagonal/>
    </border>
    <border>
      <left/>
      <right/>
      <top style="medium">
        <color rgb="FF2F75B5"/>
      </top>
      <bottom/>
      <diagonal/>
    </border>
    <border>
      <left/>
      <right style="medium">
        <color rgb="FF2F75B5"/>
      </right>
      <top style="medium">
        <color rgb="FF2F75B5"/>
      </top>
      <bottom/>
      <diagonal/>
    </border>
    <border>
      <left style="medium">
        <color rgb="FF2F75B5"/>
      </left>
      <right/>
      <top/>
      <bottom/>
      <diagonal/>
    </border>
    <border>
      <left/>
      <right style="medium">
        <color rgb="FF2F75B5"/>
      </right>
      <top/>
      <bottom/>
      <diagonal/>
    </border>
    <border>
      <left style="medium">
        <color rgb="FF2F75B5"/>
      </left>
      <right/>
      <top/>
      <bottom style="medium">
        <color rgb="FF2F75B5"/>
      </bottom>
      <diagonal/>
    </border>
    <border>
      <left/>
      <right/>
      <top/>
      <bottom style="medium">
        <color rgb="FF2F75B5"/>
      </bottom>
      <diagonal/>
    </border>
    <border>
      <left/>
      <right style="medium">
        <color rgb="FF2F75B5"/>
      </right>
      <top/>
      <bottom style="medium">
        <color rgb="FF2F75B5"/>
      </bottom>
      <diagonal/>
    </border>
    <border>
      <left style="medium">
        <color rgb="FF2F75B5"/>
      </left>
      <right style="medium">
        <color rgb="FF2F75B5"/>
      </right>
      <top style="medium">
        <color rgb="FF2F75B5"/>
      </top>
      <bottom style="medium">
        <color rgb="FF2F75B5"/>
      </bottom>
      <diagonal/>
    </border>
    <border>
      <left/>
      <right style="thin">
        <color rgb="FFCBD5E1"/>
      </right>
      <top/>
      <bottom style="thin">
        <color rgb="FFCBD5E1"/>
      </bottom>
      <diagonal/>
    </border>
    <border>
      <left style="thin">
        <color rgb="FFCBD5E1"/>
      </left>
      <right style="thin">
        <color rgb="FFCBD5E1"/>
      </right>
      <top/>
      <bottom style="thin">
        <color rgb="FFCBD5E1"/>
      </bottom>
      <diagonal/>
    </border>
    <border>
      <left style="thin">
        <color rgb="FFCBD5E1"/>
      </left>
      <right/>
      <top/>
      <bottom style="thin">
        <color rgb="FFCBD5E1"/>
      </bottom>
      <diagonal/>
    </border>
    <border>
      <left/>
      <right style="thin">
        <color rgb="FFCBD5E1"/>
      </right>
      <top style="thin">
        <color rgb="FFCBD5E1"/>
      </top>
      <bottom style="thin">
        <color rgb="FFCBD5E1"/>
      </bottom>
      <diagonal/>
    </border>
    <border>
      <left style="thin">
        <color rgb="FFCBD5E1"/>
      </left>
      <right/>
      <top style="thin">
        <color rgb="FFCBD5E1"/>
      </top>
      <bottom style="thin">
        <color rgb="FFCBD5E1"/>
      </bottom>
      <diagonal/>
    </border>
    <border>
      <left/>
      <right style="thin">
        <color rgb="FFCBD5E1"/>
      </right>
      <top style="thin">
        <color rgb="FFCBD5E1"/>
      </top>
      <bottom/>
      <diagonal/>
    </border>
    <border>
      <left style="thin">
        <color rgb="FFCBD5E1"/>
      </left>
      <right style="thin">
        <color rgb="FFCBD5E1"/>
      </right>
      <top style="thin">
        <color rgb="FFCBD5E1"/>
      </top>
      <bottom/>
      <diagonal/>
    </border>
    <border>
      <left style="thin">
        <color rgb="FFCBD5E1"/>
      </left>
      <right/>
      <top style="thin">
        <color rgb="FFCBD5E1"/>
      </top>
      <bottom/>
      <diagonal/>
    </border>
  </borders>
  <cellStyleXfs count="1">
    <xf numFmtId="0" fontId="0" fillId="0" borderId="0"/>
  </cellStyleXfs>
  <cellXfs count="93">
    <xf numFmtId="0" fontId="0" fillId="0" borderId="0" xfId="0"/>
    <xf numFmtId="0" fontId="1" fillId="2" borderId="0" xfId="0" applyNumberFormat="1" applyFont="1" applyFill="1" applyBorder="1"/>
    <xf numFmtId="0" fontId="1" fillId="2" borderId="0" xfId="0" applyNumberFormat="1" applyFont="1" applyFill="1" applyBorder="1" applyAlignment="1">
      <alignment horizontal="center"/>
    </xf>
    <xf numFmtId="0" fontId="0" fillId="3" borderId="0" xfId="0" applyNumberFormat="1" applyFont="1" applyFill="1" applyBorder="1"/>
    <xf numFmtId="0" fontId="0" fillId="4" borderId="0" xfId="0" applyNumberFormat="1" applyFont="1" applyFill="1" applyBorder="1"/>
    <xf numFmtId="0" fontId="0" fillId="6" borderId="0" xfId="0" applyNumberFormat="1" applyFont="1" applyFill="1" applyBorder="1"/>
    <xf numFmtId="0" fontId="0" fillId="6" borderId="1" xfId="0" applyNumberFormat="1" applyFont="1" applyFill="1" applyBorder="1"/>
    <xf numFmtId="0" fontId="0" fillId="7" borderId="0" xfId="0" applyNumberFormat="1" applyFont="1" applyFill="1" applyBorder="1"/>
    <xf numFmtId="0" fontId="4" fillId="0" borderId="0" xfId="0" applyNumberFormat="1" applyFont="1" applyFill="1" applyBorder="1"/>
    <xf numFmtId="0" fontId="3" fillId="2" borderId="1" xfId="0" applyNumberFormat="1" applyFont="1" applyFill="1" applyBorder="1" applyAlignment="1">
      <alignment horizontal="center"/>
    </xf>
    <xf numFmtId="0" fontId="5" fillId="3" borderId="1" xfId="0" applyNumberFormat="1" applyFont="1" applyFill="1" applyBorder="1" applyAlignment="1">
      <alignment horizontal="center"/>
    </xf>
    <xf numFmtId="0" fontId="4" fillId="4" borderId="1" xfId="0" applyNumberFormat="1" applyFont="1" applyFill="1" applyBorder="1" applyAlignment="1">
      <alignment wrapText="1"/>
    </xf>
    <xf numFmtId="0" fontId="5" fillId="6" borderId="1" xfId="0" applyNumberFormat="1" applyFont="1" applyFill="1" applyBorder="1" applyAlignment="1">
      <alignment horizontal="center" vertical="center" wrapText="1"/>
    </xf>
    <xf numFmtId="0" fontId="4" fillId="6" borderId="1" xfId="0" applyNumberFormat="1" applyFont="1" applyFill="1" applyBorder="1" applyAlignment="1">
      <alignment horizontal="center" vertical="center" wrapText="1"/>
    </xf>
    <xf numFmtId="0" fontId="3" fillId="2" borderId="0" xfId="0" applyNumberFormat="1" applyFont="1" applyFill="1" applyBorder="1" applyAlignment="1">
      <alignment horizontal="center"/>
    </xf>
    <xf numFmtId="0" fontId="3" fillId="5" borderId="1" xfId="0" applyNumberFormat="1" applyFont="1" applyFill="1" applyBorder="1"/>
    <xf numFmtId="0" fontId="8" fillId="3" borderId="1" xfId="0" applyNumberFormat="1" applyFont="1" applyFill="1" applyBorder="1" applyAlignment="1">
      <alignment wrapText="1"/>
    </xf>
    <xf numFmtId="164" fontId="1" fillId="2" borderId="0" xfId="0" applyNumberFormat="1" applyFont="1" applyFill="1" applyBorder="1"/>
    <xf numFmtId="0" fontId="2" fillId="0" borderId="0" xfId="0" applyNumberFormat="1" applyFont="1" applyFill="1" applyBorder="1"/>
    <xf numFmtId="0" fontId="0" fillId="3" borderId="9" xfId="0" applyNumberFormat="1" applyFont="1" applyFill="1" applyBorder="1"/>
    <xf numFmtId="0" fontId="0" fillId="3" borderId="10" xfId="0" applyNumberFormat="1" applyFont="1" applyFill="1" applyBorder="1"/>
    <xf numFmtId="0" fontId="0" fillId="3" borderId="11" xfId="0" applyNumberFormat="1" applyFont="1" applyFill="1" applyBorder="1"/>
    <xf numFmtId="0" fontId="0" fillId="3" borderId="12" xfId="0" applyNumberFormat="1" applyFont="1" applyFill="1" applyBorder="1"/>
    <xf numFmtId="0" fontId="0" fillId="3" borderId="13" xfId="0" applyNumberFormat="1" applyFont="1" applyFill="1" applyBorder="1"/>
    <xf numFmtId="0" fontId="0" fillId="3" borderId="14" xfId="0" applyNumberFormat="1" applyFont="1" applyFill="1" applyBorder="1"/>
    <xf numFmtId="0" fontId="0" fillId="3" borderId="15" xfId="0" applyNumberFormat="1" applyFont="1" applyFill="1" applyBorder="1"/>
    <xf numFmtId="0" fontId="2" fillId="3" borderId="8" xfId="0" applyNumberFormat="1" applyFont="1" applyFill="1" applyBorder="1"/>
    <xf numFmtId="1" fontId="2" fillId="3" borderId="0" xfId="0" applyNumberFormat="1" applyFont="1" applyFill="1" applyBorder="1" applyAlignment="1">
      <alignment horizontal="center"/>
    </xf>
    <xf numFmtId="0" fontId="0" fillId="8" borderId="0" xfId="0" applyNumberFormat="1" applyFont="1" applyFill="1" applyBorder="1"/>
    <xf numFmtId="0" fontId="0" fillId="8" borderId="9" xfId="0" applyNumberFormat="1" applyFont="1" applyFill="1" applyBorder="1"/>
    <xf numFmtId="0" fontId="0" fillId="8" borderId="10" xfId="0" applyNumberFormat="1" applyFont="1" applyFill="1" applyBorder="1"/>
    <xf numFmtId="0" fontId="0" fillId="8" borderId="11" xfId="0" applyNumberFormat="1" applyFont="1" applyFill="1" applyBorder="1"/>
    <xf numFmtId="0" fontId="0" fillId="8" borderId="12" xfId="0" applyNumberFormat="1" applyFont="1" applyFill="1" applyBorder="1"/>
    <xf numFmtId="0" fontId="0" fillId="8" borderId="13" xfId="0" applyNumberFormat="1" applyFont="1" applyFill="1" applyBorder="1"/>
    <xf numFmtId="0" fontId="0" fillId="8" borderId="14" xfId="0" applyNumberFormat="1" applyFont="1" applyFill="1" applyBorder="1"/>
    <xf numFmtId="0" fontId="0" fillId="8" borderId="15" xfId="0" applyNumberFormat="1" applyFont="1" applyFill="1" applyBorder="1"/>
    <xf numFmtId="0" fontId="2" fillId="8" borderId="8" xfId="0" applyNumberFormat="1" applyFont="1" applyFill="1" applyBorder="1"/>
    <xf numFmtId="1" fontId="2" fillId="8" borderId="0" xfId="0" applyNumberFormat="1" applyFont="1" applyFill="1" applyBorder="1" applyAlignment="1">
      <alignment horizontal="center"/>
    </xf>
    <xf numFmtId="0" fontId="0" fillId="6" borderId="9" xfId="0" applyNumberFormat="1" applyFont="1" applyFill="1" applyBorder="1"/>
    <xf numFmtId="0" fontId="0" fillId="6" borderId="10" xfId="0" applyNumberFormat="1" applyFont="1" applyFill="1" applyBorder="1"/>
    <xf numFmtId="0" fontId="0" fillId="6" borderId="11" xfId="0" applyNumberFormat="1" applyFont="1" applyFill="1" applyBorder="1"/>
    <xf numFmtId="0" fontId="0" fillId="6" borderId="12" xfId="0" applyNumberFormat="1" applyFont="1" applyFill="1" applyBorder="1"/>
    <xf numFmtId="0" fontId="0" fillId="6" borderId="13" xfId="0" applyNumberFormat="1" applyFont="1" applyFill="1" applyBorder="1"/>
    <xf numFmtId="0" fontId="0" fillId="6" borderId="14" xfId="0" applyNumberFormat="1" applyFont="1" applyFill="1" applyBorder="1"/>
    <xf numFmtId="0" fontId="0" fillId="6" borderId="15" xfId="0" applyNumberFormat="1" applyFont="1" applyFill="1" applyBorder="1"/>
    <xf numFmtId="0" fontId="2" fillId="6" borderId="8" xfId="0" applyNumberFormat="1" applyFont="1" applyFill="1" applyBorder="1"/>
    <xf numFmtId="1" fontId="2" fillId="6" borderId="0" xfId="0" applyNumberFormat="1" applyFont="1" applyFill="1" applyBorder="1" applyAlignment="1">
      <alignment horizontal="center"/>
    </xf>
    <xf numFmtId="0" fontId="0" fillId="7" borderId="9" xfId="0" applyNumberFormat="1" applyFont="1" applyFill="1" applyBorder="1"/>
    <xf numFmtId="0" fontId="0" fillId="7" borderId="10" xfId="0" applyNumberFormat="1" applyFont="1" applyFill="1" applyBorder="1"/>
    <xf numFmtId="0" fontId="0" fillId="7" borderId="11" xfId="0" applyNumberFormat="1" applyFont="1" applyFill="1" applyBorder="1"/>
    <xf numFmtId="0" fontId="0" fillId="7" borderId="12" xfId="0" applyNumberFormat="1" applyFont="1" applyFill="1" applyBorder="1"/>
    <xf numFmtId="0" fontId="0" fillId="7" borderId="13" xfId="0" applyNumberFormat="1" applyFont="1" applyFill="1" applyBorder="1"/>
    <xf numFmtId="0" fontId="0" fillId="7" borderId="14" xfId="0" applyNumberFormat="1" applyFont="1" applyFill="1" applyBorder="1"/>
    <xf numFmtId="0" fontId="0" fillId="7" borderId="15" xfId="0" applyNumberFormat="1" applyFont="1" applyFill="1" applyBorder="1"/>
    <xf numFmtId="0" fontId="2" fillId="7" borderId="8" xfId="0" applyNumberFormat="1" applyFont="1" applyFill="1" applyBorder="1"/>
    <xf numFmtId="1" fontId="2" fillId="7" borderId="0" xfId="0" applyNumberFormat="1" applyFont="1" applyFill="1" applyBorder="1" applyAlignment="1">
      <alignment horizontal="center"/>
    </xf>
    <xf numFmtId="1" fontId="0" fillId="4" borderId="1" xfId="0" applyNumberFormat="1" applyFont="1" applyFill="1" applyBorder="1"/>
    <xf numFmtId="0" fontId="0" fillId="3" borderId="1" xfId="0" applyNumberFormat="1" applyFont="1" applyFill="1" applyBorder="1"/>
    <xf numFmtId="0" fontId="1" fillId="2" borderId="0" xfId="0" applyNumberFormat="1" applyFont="1" applyFill="1" applyBorder="1" applyAlignment="1">
      <alignment horizontal="center" wrapText="1"/>
    </xf>
    <xf numFmtId="0" fontId="0" fillId="4" borderId="17" xfId="0" applyNumberFormat="1" applyFont="1" applyFill="1" applyBorder="1"/>
    <xf numFmtId="0" fontId="0" fillId="4" borderId="18" xfId="0" applyNumberFormat="1" applyFont="1" applyFill="1" applyBorder="1"/>
    <xf numFmtId="0" fontId="0" fillId="4" borderId="19" xfId="0" applyNumberFormat="1" applyFont="1" applyFill="1" applyBorder="1"/>
    <xf numFmtId="0" fontId="0" fillId="4" borderId="20" xfId="0" applyNumberFormat="1" applyFont="1" applyFill="1" applyBorder="1"/>
    <xf numFmtId="0" fontId="0" fillId="4" borderId="1" xfId="0" applyNumberFormat="1" applyFont="1" applyFill="1" applyBorder="1"/>
    <xf numFmtId="0" fontId="0" fillId="4" borderId="21" xfId="0" applyNumberFormat="1" applyFont="1" applyFill="1" applyBorder="1"/>
    <xf numFmtId="0" fontId="0" fillId="4" borderId="22" xfId="0" applyNumberFormat="1" applyFont="1" applyFill="1" applyBorder="1"/>
    <xf numFmtId="0" fontId="0" fillId="4" borderId="23" xfId="0" applyNumberFormat="1" applyFont="1" applyFill="1" applyBorder="1"/>
    <xf numFmtId="0" fontId="0" fillId="4" borderId="24" xfId="0" applyNumberFormat="1" applyFont="1" applyFill="1" applyBorder="1"/>
    <xf numFmtId="164" fontId="0" fillId="6" borderId="0" xfId="0" applyNumberFormat="1" applyFont="1" applyFill="1" applyBorder="1"/>
    <xf numFmtId="164" fontId="0" fillId="0" borderId="0" xfId="0" applyNumberFormat="1"/>
    <xf numFmtId="164" fontId="0" fillId="4" borderId="0" xfId="0" applyNumberFormat="1" applyFont="1" applyFill="1" applyBorder="1"/>
    <xf numFmtId="0" fontId="7" fillId="2" borderId="0" xfId="0" applyNumberFormat="1" applyFont="1" applyFill="1" applyBorder="1" applyAlignment="1">
      <alignment horizontal="center" vertical="center"/>
    </xf>
    <xf numFmtId="0" fontId="5" fillId="3" borderId="0" xfId="0" applyNumberFormat="1" applyFont="1" applyFill="1" applyBorder="1" applyAlignment="1">
      <alignment horizontal="center"/>
    </xf>
    <xf numFmtId="0" fontId="3" fillId="5" borderId="0" xfId="0" applyNumberFormat="1" applyFont="1" applyFill="1" applyBorder="1" applyAlignment="1">
      <alignment horizontal="center"/>
    </xf>
    <xf numFmtId="0" fontId="3" fillId="2" borderId="0" xfId="0" applyNumberFormat="1" applyFont="1" applyFill="1" applyBorder="1" applyAlignment="1">
      <alignment horizontal="center"/>
    </xf>
    <xf numFmtId="0" fontId="6" fillId="7" borderId="2" xfId="0" applyNumberFormat="1" applyFont="1" applyFill="1" applyBorder="1" applyAlignment="1">
      <alignment horizontal="center" vertical="center" wrapText="1"/>
    </xf>
    <xf numFmtId="0" fontId="6" fillId="7" borderId="3" xfId="0" applyNumberFormat="1" applyFont="1" applyFill="1" applyBorder="1" applyAlignment="1">
      <alignment horizontal="center" vertical="center" wrapText="1"/>
    </xf>
    <xf numFmtId="0" fontId="6" fillId="7" borderId="4" xfId="0" applyNumberFormat="1" applyFont="1" applyFill="1" applyBorder="1" applyAlignment="1">
      <alignment horizontal="center" vertical="center" wrapText="1"/>
    </xf>
    <xf numFmtId="0" fontId="6" fillId="7" borderId="5" xfId="0" applyNumberFormat="1" applyFont="1" applyFill="1" applyBorder="1" applyAlignment="1">
      <alignment horizontal="center" vertical="center" wrapText="1"/>
    </xf>
    <xf numFmtId="0" fontId="6" fillId="7" borderId="6" xfId="0" applyNumberFormat="1" applyFont="1" applyFill="1" applyBorder="1" applyAlignment="1">
      <alignment horizontal="center" vertical="center" wrapText="1"/>
    </xf>
    <xf numFmtId="0" fontId="6" fillId="7" borderId="7" xfId="0" applyNumberFormat="1" applyFont="1" applyFill="1" applyBorder="1" applyAlignment="1">
      <alignment horizontal="center" vertical="center" wrapText="1"/>
    </xf>
    <xf numFmtId="0" fontId="3" fillId="2" borderId="0" xfId="0" applyNumberFormat="1" applyFont="1" applyFill="1" applyBorder="1" applyAlignment="1">
      <alignment horizontal="center" vertical="center"/>
    </xf>
    <xf numFmtId="0" fontId="9" fillId="4" borderId="0" xfId="0" applyNumberFormat="1" applyFont="1" applyFill="1" applyBorder="1" applyAlignment="1">
      <alignment wrapText="1"/>
    </xf>
    <xf numFmtId="0" fontId="1" fillId="5" borderId="0" xfId="0" applyNumberFormat="1" applyFont="1" applyFill="1" applyBorder="1" applyAlignment="1">
      <alignment horizontal="center"/>
    </xf>
    <xf numFmtId="165" fontId="1" fillId="2" borderId="0" xfId="0" applyNumberFormat="1" applyFont="1" applyFill="1" applyBorder="1"/>
    <xf numFmtId="165" fontId="0" fillId="6" borderId="0" xfId="0" applyNumberFormat="1" applyFont="1" applyFill="1" applyBorder="1"/>
    <xf numFmtId="165" fontId="0" fillId="0" borderId="0" xfId="0" applyNumberFormat="1"/>
    <xf numFmtId="165" fontId="0" fillId="4" borderId="0" xfId="0" applyNumberFormat="1" applyFont="1" applyFill="1" applyBorder="1"/>
    <xf numFmtId="164" fontId="0" fillId="3" borderId="0" xfId="0" applyNumberFormat="1" applyFont="1" applyFill="1" applyBorder="1"/>
    <xf numFmtId="165" fontId="2" fillId="6" borderId="16" xfId="0" applyNumberFormat="1" applyFont="1" applyFill="1" applyBorder="1"/>
    <xf numFmtId="164" fontId="0" fillId="4" borderId="18" xfId="0" applyNumberFormat="1" applyFont="1" applyFill="1" applyBorder="1"/>
    <xf numFmtId="164" fontId="0" fillId="4" borderId="1" xfId="0" applyNumberFormat="1" applyFont="1" applyFill="1" applyBorder="1"/>
    <xf numFmtId="14" fontId="0" fillId="4" borderId="1" xfId="0" applyNumberFormat="1" applyFont="1" applyFill="1" applyBorder="1"/>
  </cellXfs>
  <cellStyles count="1">
    <cellStyle name="Normal" xfId="0" builtinId="0"/>
  </cellStyles>
  <dxfs count="6">
    <dxf>
      <numFmt numFmtId="165" formatCode="dd/mm/yyyy"/>
    </dxf>
    <dxf>
      <numFmt numFmtId="164" formatCode="dd/mm/yyyy\ hh:mm:ss"/>
    </dxf>
    <dxf>
      <numFmt numFmtId="165" formatCode="dd/mm/yyyy"/>
    </dxf>
    <dxf>
      <numFmt numFmtId="164" formatCode="dd/mm/yyyy\ hh:mm:ss"/>
    </dxf>
    <dxf>
      <font>
        <b/>
        <color rgb="FF006100"/>
      </font>
      <fill>
        <patternFill patternType="solid">
          <bgColor rgb="FFE2F0D9"/>
        </patternFill>
      </fill>
    </dxf>
    <dxf>
      <font>
        <b/>
        <color rgb="FF9C5700"/>
      </font>
      <fill>
        <patternFill patternType="solid">
          <bgColor rgb="FFFCE4D6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c:style val="2"/>
  <c:chart>
    <c:title>
      <c:tx>
        <c:rich>
          <a:bodyPr/>
          <a:lstStyle/>
          <a:p>
            <a:r>
              <a:rPr lang="fr-FR"/>
              <a:t>Évolution quotidienne du mois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Enregistrées</c:v>
          </c:tx>
          <c:marker>
            <c:symbol val="none"/>
          </c:marker>
          <c:cat>
            <c:numRef>
              <c:f>Dashboard!$A$15:$A$45</c:f>
              <c:numCache>
                <c:formatCode>m/d/yyyy</c:formatCode>
                <c:ptCount val="31"/>
                <c:pt idx="0">
                  <c:v>46235</c:v>
                </c:pt>
                <c:pt idx="1">
                  <c:v>46236</c:v>
                </c:pt>
                <c:pt idx="2">
                  <c:v>46237</c:v>
                </c:pt>
                <c:pt idx="3">
                  <c:v>46238</c:v>
                </c:pt>
                <c:pt idx="4">
                  <c:v>46239</c:v>
                </c:pt>
                <c:pt idx="5">
                  <c:v>46240</c:v>
                </c:pt>
                <c:pt idx="6">
                  <c:v>46241</c:v>
                </c:pt>
                <c:pt idx="7">
                  <c:v>46242</c:v>
                </c:pt>
                <c:pt idx="8">
                  <c:v>46243</c:v>
                </c:pt>
                <c:pt idx="9">
                  <c:v>46244</c:v>
                </c:pt>
                <c:pt idx="10">
                  <c:v>46245</c:v>
                </c:pt>
                <c:pt idx="11">
                  <c:v>46246</c:v>
                </c:pt>
                <c:pt idx="12">
                  <c:v>46247</c:v>
                </c:pt>
                <c:pt idx="13">
                  <c:v>46248</c:v>
                </c:pt>
                <c:pt idx="14">
                  <c:v>46249</c:v>
                </c:pt>
                <c:pt idx="15">
                  <c:v>46250</c:v>
                </c:pt>
                <c:pt idx="16">
                  <c:v>46251</c:v>
                </c:pt>
                <c:pt idx="17">
                  <c:v>46252</c:v>
                </c:pt>
                <c:pt idx="18">
                  <c:v>46253</c:v>
                </c:pt>
                <c:pt idx="19">
                  <c:v>46254</c:v>
                </c:pt>
                <c:pt idx="20">
                  <c:v>46255</c:v>
                </c:pt>
                <c:pt idx="21">
                  <c:v>46256</c:v>
                </c:pt>
                <c:pt idx="22">
                  <c:v>46257</c:v>
                </c:pt>
                <c:pt idx="23">
                  <c:v>46258</c:v>
                </c:pt>
                <c:pt idx="24">
                  <c:v>46259</c:v>
                </c:pt>
                <c:pt idx="25">
                  <c:v>46260</c:v>
                </c:pt>
                <c:pt idx="26">
                  <c:v>46261</c:v>
                </c:pt>
                <c:pt idx="27">
                  <c:v>46262</c:v>
                </c:pt>
                <c:pt idx="28">
                  <c:v>46263</c:v>
                </c:pt>
                <c:pt idx="29">
                  <c:v>46264</c:v>
                </c:pt>
                <c:pt idx="30">
                  <c:v>46265</c:v>
                </c:pt>
              </c:numCache>
            </c:numRef>
          </c:cat>
          <c:val>
            <c:numRef>
              <c:f>Dashboard!$B$15:$B$45</c:f>
              <c:numCache>
                <c:formatCode>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C00-4738-930A-94EDEC1C372D}"/>
            </c:ext>
          </c:extLst>
        </c:ser>
        <c:ser>
          <c:idx val="1"/>
          <c:order val="1"/>
          <c:tx>
            <c:v>En attente</c:v>
          </c:tx>
          <c:marker>
            <c:symbol val="none"/>
          </c:marker>
          <c:cat>
            <c:numRef>
              <c:f>Dashboard!$A$15:$A$45</c:f>
              <c:numCache>
                <c:formatCode>m/d/yyyy</c:formatCode>
                <c:ptCount val="31"/>
                <c:pt idx="0">
                  <c:v>46235</c:v>
                </c:pt>
                <c:pt idx="1">
                  <c:v>46236</c:v>
                </c:pt>
                <c:pt idx="2">
                  <c:v>46237</c:v>
                </c:pt>
                <c:pt idx="3">
                  <c:v>46238</c:v>
                </c:pt>
                <c:pt idx="4">
                  <c:v>46239</c:v>
                </c:pt>
                <c:pt idx="5">
                  <c:v>46240</c:v>
                </c:pt>
                <c:pt idx="6">
                  <c:v>46241</c:v>
                </c:pt>
                <c:pt idx="7">
                  <c:v>46242</c:v>
                </c:pt>
                <c:pt idx="8">
                  <c:v>46243</c:v>
                </c:pt>
                <c:pt idx="9">
                  <c:v>46244</c:v>
                </c:pt>
                <c:pt idx="10">
                  <c:v>46245</c:v>
                </c:pt>
                <c:pt idx="11">
                  <c:v>46246</c:v>
                </c:pt>
                <c:pt idx="12">
                  <c:v>46247</c:v>
                </c:pt>
                <c:pt idx="13">
                  <c:v>46248</c:v>
                </c:pt>
                <c:pt idx="14">
                  <c:v>46249</c:v>
                </c:pt>
                <c:pt idx="15">
                  <c:v>46250</c:v>
                </c:pt>
                <c:pt idx="16">
                  <c:v>46251</c:v>
                </c:pt>
                <c:pt idx="17">
                  <c:v>46252</c:v>
                </c:pt>
                <c:pt idx="18">
                  <c:v>46253</c:v>
                </c:pt>
                <c:pt idx="19">
                  <c:v>46254</c:v>
                </c:pt>
                <c:pt idx="20">
                  <c:v>46255</c:v>
                </c:pt>
                <c:pt idx="21">
                  <c:v>46256</c:v>
                </c:pt>
                <c:pt idx="22">
                  <c:v>46257</c:v>
                </c:pt>
                <c:pt idx="23">
                  <c:v>46258</c:v>
                </c:pt>
                <c:pt idx="24">
                  <c:v>46259</c:v>
                </c:pt>
                <c:pt idx="25">
                  <c:v>46260</c:v>
                </c:pt>
                <c:pt idx="26">
                  <c:v>46261</c:v>
                </c:pt>
                <c:pt idx="27">
                  <c:v>46262</c:v>
                </c:pt>
                <c:pt idx="28">
                  <c:v>46263</c:v>
                </c:pt>
                <c:pt idx="29">
                  <c:v>46264</c:v>
                </c:pt>
                <c:pt idx="30">
                  <c:v>46265</c:v>
                </c:pt>
              </c:numCache>
            </c:numRef>
          </c:cat>
          <c:val>
            <c:numRef>
              <c:f>Dashboard!$C$15:$C$45</c:f>
              <c:numCache>
                <c:formatCode>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C00-4738-930A-94EDEC1C37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650112"/>
        <c:axId val="48672768"/>
      </c:lineChart>
      <c:dateAx>
        <c:axId val="48650112"/>
        <c:scaling>
          <c:orientation val="minMax"/>
        </c:scaling>
        <c:delete val="0"/>
        <c:axPos val="b"/>
        <c:majorGridlines>
          <c:spPr>
            <a:ln w="9525">
              <a:solidFill>
                <a:srgbClr val="CCCCCC"/>
              </a:solidFill>
              <a:prstDash val="dash"/>
            </a:ln>
          </c:spPr>
        </c:majorGridlines>
        <c:numFmt formatCode="m/d/yyyy" sourceLinked="1"/>
        <c:majorTickMark val="none"/>
        <c:minorTickMark val="none"/>
        <c:tickLblPos val="nextTo"/>
        <c:txPr>
          <a:bodyPr anchorCtr="1"/>
          <a:lstStyle/>
          <a:p>
            <a:pPr>
              <a:defRPr sz="675"/>
            </a:pPr>
            <a:endParaRPr lang="fr-FR"/>
          </a:p>
        </c:txPr>
        <c:crossAx val="48672768"/>
        <c:crosses val="autoZero"/>
        <c:auto val="1"/>
        <c:lblOffset val="100"/>
        <c:baseTimeUnit val="days"/>
        <c:majorUnit val="3"/>
      </c:dateAx>
      <c:valAx>
        <c:axId val="48672768"/>
        <c:scaling>
          <c:orientation val="minMax"/>
          <c:min val="0"/>
        </c:scaling>
        <c:delete val="0"/>
        <c:axPos val="l"/>
        <c:majorGridlines>
          <c:spPr>
            <a:ln w="9525">
              <a:solidFill>
                <a:srgbClr val="CCCCCC"/>
              </a:solidFill>
              <a:prstDash val="dash"/>
            </a:ln>
          </c:spPr>
        </c:majorGridlines>
        <c:numFmt formatCode="0" sourceLinked="1"/>
        <c:majorTickMark val="none"/>
        <c:minorTickMark val="none"/>
        <c:tickLblPos val="nextTo"/>
        <c:crossAx val="48650112"/>
        <c:crosses val="autoZero"/>
        <c:crossBetween val="between"/>
      </c:valAx>
    </c:plotArea>
    <c:legend>
      <c:legendPos val="b"/>
      <c:overlay val="0"/>
    </c:legend>
    <c:plotVisOnly val="1"/>
    <c:dispBlanksAs val="zero"/>
    <c:showDLblsOverMax val="1"/>
  </c:chart>
  <c:spPr>
    <a:ln w="9525">
      <a:solidFill>
        <a:srgbClr val="D9D9D9"/>
      </a:solidFill>
      <a:prstDash val="solid"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12</xdr:row>
      <xdr:rowOff>0</xdr:rowOff>
    </xdr:from>
    <xdr:to>
      <xdr:col>12</xdr:col>
      <xdr:colOff>0</xdr:colOff>
      <xdr:row>31</xdr:row>
      <xdr:rowOff>0</xdr:rowOff>
    </xdr:to>
    <xdr:graphicFrame macro="">
      <xdr:nvGraphicFramePr>
        <xdr:cNvPr id="2" name="Chart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Activites" displayName="tblActivites" ref="A1:C4" totalsRowShown="0">
  <tableColumns count="3">
    <tableColumn id="1" xr3:uid="{00000000-0010-0000-0000-000001000000}" name="Activite"/>
    <tableColumn id="2" xr3:uid="{00000000-0010-0000-0000-000002000000}" name="TypeDossierActif"/>
    <tableColumn id="3" xr3:uid="{00000000-0010-0000-0000-000003000000}" name="DispoActif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blProduits" displayName="tblProduits" ref="E1:F17" totalsRowShown="0">
  <tableColumns count="2">
    <tableColumn id="1" xr3:uid="{00000000-0010-0000-0100-000001000000}" name="Activite"/>
    <tableColumn id="2" xr3:uid="{00000000-0010-0000-0100-000002000000}" name="Produit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blTypesDossier" displayName="tblTypesDossier" ref="H1:I3" totalsRowShown="0">
  <tableColumns count="2">
    <tableColumn id="1" xr3:uid="{00000000-0010-0000-0200-000001000000}" name="Activite"/>
    <tableColumn id="2" xr3:uid="{00000000-0010-0000-0200-000002000000}" name="TypeDossier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blDecisions" displayName="tblDecisions" ref="K1:K5" totalsRowShown="0">
  <tableColumns count="1">
    <tableColumn id="1" xr3:uid="{00000000-0010-0000-0300-000001000000}" name="Decision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blDispo" displayName="tblDispo" ref="M1:N3" totalsRowShown="0">
  <tableColumns count="2">
    <tableColumn id="1" xr3:uid="{00000000-0010-0000-0400-000001000000}" name="Activite"/>
    <tableColumn id="2" xr3:uid="{00000000-0010-0000-0400-000002000000}" name="Dispo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blTemp" displayName="tblTemp" ref="A1:M2" totalsRowShown="0">
  <tableColumns count="13">
    <tableColumn id="1" xr3:uid="{00000000-0010-0000-0500-000001000000}" name="IDTemp"/>
    <tableColumn id="2" xr3:uid="{00000000-0010-0000-0500-000002000000}" name="NumeroDossier"/>
    <tableColumn id="3" xr3:uid="{00000000-0010-0000-0500-000003000000}" name="PersoID"/>
    <tableColumn id="4" xr3:uid="{00000000-0010-0000-0500-000004000000}" name="DateTime" dataDxfId="3"/>
    <tableColumn id="5" xr3:uid="{00000000-0010-0000-0500-000005000000}" name="Activite"/>
    <tableColumn id="6" xr3:uid="{00000000-0010-0000-0500-000006000000}" name="Produit"/>
    <tableColumn id="7" xr3:uid="{00000000-0010-0000-0500-000007000000}" name="TypeDossier"/>
    <tableColumn id="8" xr3:uid="{00000000-0010-0000-0500-000008000000}" name="Decision"/>
    <tableColumn id="9" xr3:uid="{00000000-0010-0000-0500-000009000000}" name="Dispo"/>
    <tableColumn id="10" xr3:uid="{00000000-0010-0000-0500-00000A000000}" name="Commentaire"/>
    <tableColumn id="11" xr3:uid="{00000000-0010-0000-0500-00000B000000}" name="Etat"/>
    <tableColumn id="12" xr3:uid="{00000000-0010-0000-0500-00000C000000}" name="CleDoublon"/>
    <tableColumn id="13" xr3:uid="{00000000-0010-0000-0500-00000D000000}" name="DateJour" dataDxfId="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blHistorique" displayName="tblHistorique" ref="A1:N4" totalsRowShown="0">
  <tableColumns count="14">
    <tableColumn id="1" xr3:uid="{00000000-0010-0000-0600-000001000000}" name="NumeroDossier"/>
    <tableColumn id="2" xr3:uid="{00000000-0010-0000-0600-000002000000}" name="PersoID"/>
    <tableColumn id="3" xr3:uid="{00000000-0010-0000-0600-000003000000}" name="DateTime" dataDxfId="1"/>
    <tableColumn id="4" xr3:uid="{00000000-0010-0000-0600-000004000000}" name="Activite"/>
    <tableColumn id="5" xr3:uid="{00000000-0010-0000-0600-000005000000}" name="Produit"/>
    <tableColumn id="6" xr3:uid="{00000000-0010-0000-0600-000006000000}" name="TypeDossier"/>
    <tableColumn id="7" xr3:uid="{00000000-0010-0000-0600-000007000000}" name="Decision"/>
    <tableColumn id="8" xr3:uid="{00000000-0010-0000-0600-000008000000}" name="Dispo"/>
    <tableColumn id="9" xr3:uid="{00000000-0010-0000-0600-000009000000}" name="Commentaire"/>
    <tableColumn id="10" xr3:uid="{00000000-0010-0000-0600-00000A000000}" name="DateJour" dataDxfId="0"/>
    <tableColumn id="11" xr3:uid="{00000000-0010-0000-0600-00000B000000}" name="SemaineISO"/>
    <tableColumn id="12" xr3:uid="{00000000-0010-0000-0600-00000C000000}" name="Mois"/>
    <tableColumn id="13" xr3:uid="{00000000-0010-0000-0600-00000D000000}" name="CleDoublon"/>
    <tableColumn id="14" xr3:uid="{00000000-0010-0000-0600-00000E000000}" name="SourceCSV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J24"/>
  <sheetViews>
    <sheetView showGridLines="0" workbookViewId="0">
      <selection activeCell="C25" sqref="C25"/>
    </sheetView>
  </sheetViews>
  <sheetFormatPr baseColWidth="10" defaultColWidth="8.796875" defaultRowHeight="13.8"/>
  <cols>
    <col min="1" max="1" width="28" customWidth="1"/>
    <col min="2" max="2" width="55" customWidth="1"/>
    <col min="3" max="3" width="24" customWidth="1"/>
    <col min="4" max="10" width="18" customWidth="1"/>
  </cols>
  <sheetData>
    <row r="1" spans="1:10">
      <c r="A1" s="71" t="s">
        <v>0</v>
      </c>
      <c r="B1" s="71"/>
      <c r="C1" s="71"/>
      <c r="D1" s="71"/>
      <c r="E1" s="71"/>
      <c r="F1" s="71"/>
      <c r="G1" s="71"/>
      <c r="H1" s="71"/>
      <c r="I1" s="71"/>
      <c r="J1" s="71"/>
    </row>
    <row r="2" spans="1:10">
      <c r="A2" s="71"/>
      <c r="B2" s="71"/>
      <c r="C2" s="71"/>
      <c r="D2" s="71"/>
      <c r="E2" s="71"/>
      <c r="F2" s="71"/>
      <c r="G2" s="71"/>
      <c r="H2" s="71"/>
      <c r="I2" s="71"/>
      <c r="J2" s="71"/>
    </row>
    <row r="3" spans="1:10">
      <c r="A3" s="8"/>
      <c r="B3" s="8"/>
      <c r="C3" s="8"/>
      <c r="D3" s="8"/>
      <c r="E3" s="8"/>
      <c r="F3" s="8"/>
      <c r="G3" s="8"/>
      <c r="H3" s="8"/>
      <c r="I3" s="8"/>
      <c r="J3" s="8"/>
    </row>
    <row r="4" spans="1:10">
      <c r="A4" s="72"/>
      <c r="B4" s="72"/>
      <c r="C4" s="72"/>
      <c r="D4" s="72"/>
      <c r="E4" s="72"/>
      <c r="F4" s="72"/>
      <c r="G4" s="72"/>
      <c r="H4" s="72"/>
      <c r="I4" s="72"/>
      <c r="J4" s="72"/>
    </row>
    <row r="5" spans="1:10">
      <c r="A5" s="8"/>
      <c r="B5" s="8"/>
      <c r="C5" s="8"/>
      <c r="D5" s="8"/>
      <c r="E5" s="8"/>
      <c r="F5" s="8"/>
      <c r="G5" s="8"/>
      <c r="H5" s="8"/>
      <c r="I5" s="8"/>
      <c r="J5" s="8"/>
    </row>
    <row r="6" spans="1:10">
      <c r="A6" s="9" t="s">
        <v>1</v>
      </c>
      <c r="B6" s="9" t="s">
        <v>2</v>
      </c>
      <c r="C6" s="8"/>
      <c r="D6" s="73" t="s">
        <v>3</v>
      </c>
      <c r="E6" s="73"/>
      <c r="F6" s="73"/>
      <c r="G6" s="73"/>
      <c r="H6" s="73"/>
      <c r="I6" s="73"/>
      <c r="J6" s="73"/>
    </row>
    <row r="7" spans="1:10" ht="30" customHeight="1">
      <c r="A7" s="10" t="s">
        <v>4</v>
      </c>
      <c r="B7" s="11" t="s">
        <v>5</v>
      </c>
      <c r="C7" s="8"/>
      <c r="D7" s="12" t="s">
        <v>6</v>
      </c>
      <c r="E7" s="12" t="s">
        <v>7</v>
      </c>
      <c r="F7" s="12" t="s">
        <v>8</v>
      </c>
      <c r="G7" s="12" t="s">
        <v>7</v>
      </c>
      <c r="H7" s="12" t="s">
        <v>9</v>
      </c>
      <c r="I7" s="12" t="s">
        <v>7</v>
      </c>
      <c r="J7" s="12" t="s">
        <v>10</v>
      </c>
    </row>
    <row r="8" spans="1:10" ht="30" customHeight="1">
      <c r="A8" s="10" t="s">
        <v>11</v>
      </c>
      <c r="B8" s="11" t="s">
        <v>12</v>
      </c>
      <c r="C8" s="8"/>
      <c r="D8" s="13" t="s">
        <v>13</v>
      </c>
      <c r="E8" s="13"/>
      <c r="F8" s="13" t="s">
        <v>14</v>
      </c>
      <c r="G8" s="13"/>
      <c r="H8" s="13" t="s">
        <v>15</v>
      </c>
      <c r="I8" s="13"/>
      <c r="J8" s="13" t="s">
        <v>16</v>
      </c>
    </row>
    <row r="9" spans="1:10" ht="30" customHeight="1">
      <c r="A9" s="10" t="s">
        <v>17</v>
      </c>
      <c r="B9" s="11" t="s">
        <v>18</v>
      </c>
      <c r="C9" s="8"/>
      <c r="D9" s="13" t="s">
        <v>19</v>
      </c>
      <c r="E9" s="13"/>
      <c r="F9" s="13" t="s">
        <v>20</v>
      </c>
      <c r="G9" s="13"/>
      <c r="H9" s="13" t="s">
        <v>21</v>
      </c>
      <c r="I9" s="13"/>
      <c r="J9" s="13" t="s">
        <v>22</v>
      </c>
    </row>
    <row r="10" spans="1:10" ht="30" customHeight="1">
      <c r="A10" s="10" t="s">
        <v>23</v>
      </c>
      <c r="B10" s="11" t="s">
        <v>24</v>
      </c>
      <c r="C10" s="8"/>
      <c r="D10" s="13"/>
      <c r="E10" s="13"/>
      <c r="F10" s="13"/>
      <c r="G10" s="13"/>
      <c r="H10" s="13"/>
      <c r="I10" s="13"/>
      <c r="J10" s="13"/>
    </row>
    <row r="11" spans="1:10" ht="30" customHeight="1">
      <c r="A11" s="10" t="s">
        <v>25</v>
      </c>
      <c r="B11" s="11" t="s">
        <v>26</v>
      </c>
      <c r="C11" s="8"/>
      <c r="D11" s="13" t="s">
        <v>27</v>
      </c>
      <c r="E11" s="13" t="s">
        <v>28</v>
      </c>
      <c r="F11" s="13" t="s">
        <v>29</v>
      </c>
      <c r="G11" s="13" t="s">
        <v>30</v>
      </c>
      <c r="H11" s="13" t="s">
        <v>31</v>
      </c>
      <c r="I11" s="13"/>
      <c r="J11" s="13" t="s">
        <v>32</v>
      </c>
    </row>
    <row r="12" spans="1:10">
      <c r="A12" s="8"/>
      <c r="B12" s="8"/>
      <c r="C12" s="8"/>
      <c r="D12" s="8"/>
      <c r="E12" s="8"/>
      <c r="F12" s="8"/>
      <c r="G12" s="8"/>
      <c r="H12" s="8"/>
      <c r="I12" s="8"/>
      <c r="J12" s="8"/>
    </row>
    <row r="13" spans="1:10">
      <c r="A13" s="8"/>
      <c r="B13" s="8"/>
      <c r="C13" s="8"/>
      <c r="D13" s="8"/>
      <c r="E13" s="8"/>
      <c r="F13" s="8"/>
      <c r="G13" s="8"/>
      <c r="H13" s="8"/>
      <c r="I13" s="8"/>
      <c r="J13" s="8"/>
    </row>
    <row r="14" spans="1:10">
      <c r="A14" s="74" t="s">
        <v>33</v>
      </c>
      <c r="B14" s="74"/>
      <c r="C14" s="74"/>
      <c r="D14" s="74"/>
      <c r="E14" s="74"/>
      <c r="F14" s="74"/>
      <c r="G14" s="74"/>
      <c r="H14" s="74"/>
      <c r="I14" s="74"/>
      <c r="J14" s="74"/>
    </row>
    <row r="15" spans="1:10">
      <c r="A15" s="15" t="s">
        <v>34</v>
      </c>
      <c r="B15" s="15" t="s">
        <v>35</v>
      </c>
      <c r="C15" s="15" t="s">
        <v>36</v>
      </c>
      <c r="D15" s="8"/>
      <c r="E15" s="8"/>
      <c r="F15" s="8"/>
      <c r="G15" s="8"/>
      <c r="H15" s="8"/>
      <c r="I15" s="8"/>
      <c r="J15" s="8"/>
    </row>
    <row r="16" spans="1:10">
      <c r="A16" s="11" t="s">
        <v>37</v>
      </c>
      <c r="B16" s="11" t="s">
        <v>38</v>
      </c>
      <c r="C16" s="11" t="s">
        <v>39</v>
      </c>
      <c r="D16" s="8"/>
      <c r="E16" s="8"/>
      <c r="F16" s="8"/>
      <c r="G16" s="8"/>
      <c r="H16" s="8"/>
      <c r="I16" s="8"/>
      <c r="J16" s="8"/>
    </row>
    <row r="17" spans="1:10">
      <c r="A17" s="11" t="s">
        <v>40</v>
      </c>
      <c r="B17" s="11" t="s">
        <v>41</v>
      </c>
      <c r="C17" s="11" t="s">
        <v>42</v>
      </c>
      <c r="D17" s="8"/>
      <c r="E17" s="8"/>
      <c r="F17" s="8"/>
      <c r="G17" s="8"/>
      <c r="H17" s="8"/>
      <c r="I17" s="8"/>
      <c r="J17" s="8"/>
    </row>
    <row r="18" spans="1:10">
      <c r="A18" s="11" t="s">
        <v>43</v>
      </c>
      <c r="B18" s="11" t="s">
        <v>44</v>
      </c>
      <c r="C18" s="11" t="s">
        <v>45</v>
      </c>
      <c r="D18" s="8"/>
      <c r="E18" s="8"/>
      <c r="F18" s="8"/>
      <c r="G18" s="8"/>
      <c r="H18" s="8"/>
      <c r="I18" s="8"/>
      <c r="J18" s="8"/>
    </row>
    <row r="19" spans="1:10">
      <c r="A19" s="11" t="s">
        <v>46</v>
      </c>
      <c r="B19" s="11" t="s">
        <v>47</v>
      </c>
      <c r="C19" s="11" t="s">
        <v>48</v>
      </c>
      <c r="D19" s="8"/>
      <c r="E19" s="8"/>
      <c r="F19" s="8"/>
      <c r="G19" s="8"/>
      <c r="H19" s="8"/>
      <c r="I19" s="8"/>
      <c r="J19" s="8"/>
    </row>
    <row r="20" spans="1:10">
      <c r="A20" s="75"/>
      <c r="B20" s="76"/>
      <c r="C20" s="76"/>
      <c r="D20" s="76"/>
      <c r="E20" s="76"/>
      <c r="F20" s="76"/>
      <c r="G20" s="76"/>
      <c r="H20" s="76"/>
      <c r="I20" s="76"/>
      <c r="J20" s="77"/>
    </row>
    <row r="21" spans="1:10">
      <c r="A21" s="78"/>
      <c r="B21" s="79"/>
      <c r="C21" s="79"/>
      <c r="D21" s="79"/>
      <c r="E21" s="79"/>
      <c r="F21" s="79"/>
      <c r="G21" s="79"/>
      <c r="H21" s="79"/>
      <c r="I21" s="79"/>
      <c r="J21" s="80"/>
    </row>
    <row r="22" spans="1:10">
      <c r="A22" s="8"/>
      <c r="B22" s="8"/>
      <c r="C22" s="8"/>
      <c r="D22" s="8"/>
      <c r="E22" s="8"/>
      <c r="F22" s="8"/>
      <c r="G22" s="8"/>
      <c r="H22" s="8"/>
      <c r="I22" s="8"/>
      <c r="J22" s="8"/>
    </row>
    <row r="23" spans="1:10">
      <c r="A23" s="8"/>
      <c r="B23" s="8"/>
      <c r="C23" s="8"/>
      <c r="D23" s="8"/>
      <c r="E23" s="8"/>
      <c r="F23" s="8"/>
      <c r="G23" s="8"/>
      <c r="H23" s="8"/>
      <c r="I23" s="8"/>
      <c r="J23" s="8"/>
    </row>
    <row r="24" spans="1:10">
      <c r="A24" s="8"/>
      <c r="B24" s="8"/>
      <c r="C24" s="8"/>
      <c r="D24" s="8"/>
      <c r="E24" s="8"/>
      <c r="F24" s="8"/>
      <c r="G24" s="8"/>
      <c r="H24" s="8"/>
      <c r="I24" s="8"/>
      <c r="J24" s="8"/>
    </row>
  </sheetData>
  <mergeCells count="5">
    <mergeCell ref="A1:J2"/>
    <mergeCell ref="A4:J4"/>
    <mergeCell ref="D6:J6"/>
    <mergeCell ref="A14:J14"/>
    <mergeCell ref="A20:J2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Q17"/>
  <sheetViews>
    <sheetView showGridLines="0" topLeftCell="I1" workbookViewId="0">
      <selection activeCell="K16" sqref="K16"/>
    </sheetView>
  </sheetViews>
  <sheetFormatPr baseColWidth="10" defaultColWidth="8.796875" defaultRowHeight="13.8"/>
  <cols>
    <col min="1" max="3" width="20" customWidth="1"/>
    <col min="5" max="6" width="23" customWidth="1"/>
    <col min="8" max="9" width="22" customWidth="1"/>
    <col min="11" max="11" width="18" customWidth="1"/>
    <col min="13" max="14" width="18" customWidth="1"/>
    <col min="17" max="17" width="72" customWidth="1"/>
  </cols>
  <sheetData>
    <row r="1" spans="1:17">
      <c r="A1" s="9" t="s">
        <v>49</v>
      </c>
      <c r="B1" s="9" t="s">
        <v>50</v>
      </c>
      <c r="C1" s="9" t="s">
        <v>51</v>
      </c>
      <c r="D1" s="8"/>
      <c r="E1" s="9" t="s">
        <v>49</v>
      </c>
      <c r="F1" s="9" t="s">
        <v>52</v>
      </c>
      <c r="G1" s="8"/>
      <c r="H1" s="9" t="s">
        <v>49</v>
      </c>
      <c r="I1" s="9" t="s">
        <v>53</v>
      </c>
      <c r="J1" s="8"/>
      <c r="K1" s="9" t="s">
        <v>54</v>
      </c>
      <c r="L1" s="8"/>
      <c r="M1" s="9" t="s">
        <v>49</v>
      </c>
      <c r="N1" s="9" t="s">
        <v>55</v>
      </c>
      <c r="O1" s="8"/>
      <c r="P1" s="8"/>
      <c r="Q1" s="14" t="s">
        <v>56</v>
      </c>
    </row>
    <row r="2" spans="1:17">
      <c r="A2" s="6" t="s">
        <v>57</v>
      </c>
      <c r="B2" s="6" t="s">
        <v>58</v>
      </c>
      <c r="C2" s="6" t="s">
        <v>58</v>
      </c>
      <c r="E2" s="6" t="s">
        <v>57</v>
      </c>
      <c r="F2" s="6" t="s">
        <v>59</v>
      </c>
      <c r="H2" s="6" t="s">
        <v>57</v>
      </c>
      <c r="I2" s="6" t="s">
        <v>60</v>
      </c>
      <c r="K2" s="6" t="s">
        <v>61</v>
      </c>
      <c r="M2" s="6" t="s">
        <v>57</v>
      </c>
      <c r="N2" s="6" t="s">
        <v>58</v>
      </c>
      <c r="Q2" s="16" t="s">
        <v>113</v>
      </c>
    </row>
    <row r="3" spans="1:17">
      <c r="A3" s="6" t="s">
        <v>62</v>
      </c>
      <c r="B3" s="6" t="s">
        <v>63</v>
      </c>
      <c r="C3" s="6" t="s">
        <v>63</v>
      </c>
      <c r="E3" s="6" t="s">
        <v>57</v>
      </c>
      <c r="F3" s="6" t="s">
        <v>64</v>
      </c>
      <c r="H3" s="6" t="s">
        <v>57</v>
      </c>
      <c r="I3" s="6" t="s">
        <v>65</v>
      </c>
      <c r="K3" s="6" t="s">
        <v>66</v>
      </c>
      <c r="M3" s="6" t="s">
        <v>57</v>
      </c>
      <c r="N3" s="6" t="s">
        <v>63</v>
      </c>
      <c r="Q3" s="16" t="s">
        <v>67</v>
      </c>
    </row>
    <row r="4" spans="1:17">
      <c r="A4" s="6" t="s">
        <v>68</v>
      </c>
      <c r="B4" s="6" t="s">
        <v>63</v>
      </c>
      <c r="C4" s="6" t="s">
        <v>63</v>
      </c>
      <c r="E4" s="6" t="s">
        <v>57</v>
      </c>
      <c r="F4" s="6" t="s">
        <v>69</v>
      </c>
      <c r="K4" s="6" t="s">
        <v>70</v>
      </c>
    </row>
    <row r="5" spans="1:17">
      <c r="E5" s="6" t="s">
        <v>57</v>
      </c>
      <c r="F5" s="6" t="s">
        <v>71</v>
      </c>
      <c r="K5" s="6" t="s">
        <v>72</v>
      </c>
    </row>
    <row r="6" spans="1:17">
      <c r="E6" s="6" t="s">
        <v>57</v>
      </c>
      <c r="F6" s="6" t="s">
        <v>73</v>
      </c>
    </row>
    <row r="7" spans="1:17">
      <c r="E7" s="6" t="s">
        <v>57</v>
      </c>
      <c r="F7" s="6" t="s">
        <v>74</v>
      </c>
    </row>
    <row r="8" spans="1:17">
      <c r="E8" s="6" t="s">
        <v>57</v>
      </c>
      <c r="F8" s="6" t="s">
        <v>75</v>
      </c>
    </row>
    <row r="9" spans="1:17">
      <c r="E9" s="6" t="s">
        <v>57</v>
      </c>
      <c r="F9" s="6" t="s">
        <v>76</v>
      </c>
    </row>
    <row r="10" spans="1:17">
      <c r="E10" s="6" t="s">
        <v>57</v>
      </c>
      <c r="F10" s="6" t="s">
        <v>77</v>
      </c>
    </row>
    <row r="11" spans="1:17">
      <c r="E11" s="6" t="s">
        <v>62</v>
      </c>
      <c r="F11" s="6" t="s">
        <v>78</v>
      </c>
    </row>
    <row r="12" spans="1:17">
      <c r="E12" s="6" t="s">
        <v>62</v>
      </c>
      <c r="F12" s="6" t="s">
        <v>79</v>
      </c>
    </row>
    <row r="13" spans="1:17">
      <c r="E13" s="6" t="s">
        <v>62</v>
      </c>
      <c r="F13" s="6" t="s">
        <v>80</v>
      </c>
    </row>
    <row r="14" spans="1:17">
      <c r="E14" s="6" t="s">
        <v>62</v>
      </c>
      <c r="F14" s="6" t="s">
        <v>81</v>
      </c>
    </row>
    <row r="15" spans="1:17">
      <c r="E15" s="6" t="s">
        <v>62</v>
      </c>
      <c r="F15" s="6" t="s">
        <v>82</v>
      </c>
    </row>
    <row r="16" spans="1:17">
      <c r="E16" s="6" t="s">
        <v>62</v>
      </c>
      <c r="F16" s="6" t="s">
        <v>83</v>
      </c>
    </row>
    <row r="17" spans="5:6">
      <c r="E17" s="6" t="s">
        <v>68</v>
      </c>
      <c r="F17" s="6" t="s">
        <v>59</v>
      </c>
    </row>
  </sheetData>
  <pageMargins left="0.7" right="0.7" top="0.75" bottom="0.75" header="0.3" footer="0.3"/>
  <tableParts count="5">
    <tablePart r:id="rId1"/>
    <tablePart r:id="rId2"/>
    <tablePart r:id="rId3"/>
    <tablePart r:id="rId4"/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/>
  <dimension ref="A1:L72"/>
  <sheetViews>
    <sheetView showGridLines="0" tabSelected="1" topLeftCell="A11" workbookViewId="0">
      <selection activeCell="D29" sqref="D29"/>
    </sheetView>
  </sheetViews>
  <sheetFormatPr baseColWidth="10" defaultColWidth="8.796875" defaultRowHeight="13.8"/>
  <cols>
    <col min="1" max="1" width="18" customWidth="1"/>
    <col min="2" max="6" width="20" customWidth="1"/>
    <col min="7" max="7" width="18" customWidth="1"/>
    <col min="8" max="8" width="12" customWidth="1"/>
    <col min="9" max="9" width="42" customWidth="1"/>
    <col min="10" max="12" width="15" customWidth="1"/>
  </cols>
  <sheetData>
    <row r="1" spans="1:12">
      <c r="A1" s="81" t="s">
        <v>84</v>
      </c>
      <c r="B1" s="81"/>
      <c r="C1" s="81"/>
      <c r="D1" s="81"/>
      <c r="E1" s="81"/>
      <c r="F1" s="81"/>
      <c r="G1" s="81"/>
      <c r="H1" s="81"/>
      <c r="I1" s="81"/>
      <c r="J1" s="81"/>
      <c r="K1" s="81"/>
      <c r="L1" s="81"/>
    </row>
    <row r="2" spans="1:12">
      <c r="A2" s="71"/>
      <c r="B2" s="71"/>
      <c r="C2" s="71"/>
      <c r="D2" s="71"/>
      <c r="E2" s="71"/>
      <c r="F2" s="71"/>
      <c r="G2" s="71"/>
      <c r="H2" s="71"/>
      <c r="I2" s="71"/>
      <c r="J2" s="71"/>
      <c r="K2" s="71"/>
      <c r="L2" s="71"/>
    </row>
    <row r="3" spans="1:12">
      <c r="A3" s="18" t="s">
        <v>85</v>
      </c>
      <c r="B3" s="3" t="s">
        <v>114</v>
      </c>
      <c r="D3" s="18" t="s">
        <v>86</v>
      </c>
      <c r="E3" s="88">
        <v>46252.093368055554</v>
      </c>
      <c r="F3" s="3"/>
    </row>
    <row r="5" spans="1:12">
      <c r="A5" s="26" t="s">
        <v>87</v>
      </c>
      <c r="B5" s="19"/>
      <c r="C5" s="20"/>
      <c r="D5" s="36" t="s">
        <v>88</v>
      </c>
      <c r="E5" s="29"/>
      <c r="F5" s="30"/>
      <c r="G5" s="45" t="s">
        <v>89</v>
      </c>
      <c r="H5" s="38"/>
      <c r="I5" s="39"/>
      <c r="J5" s="54" t="s">
        <v>90</v>
      </c>
      <c r="K5" s="47"/>
      <c r="L5" s="48"/>
    </row>
    <row r="6" spans="1:12">
      <c r="A6" s="21"/>
      <c r="B6" s="27">
        <f ca="1">IF($B$3="",0,COUNTIFS(DATA_Historique!$B$2:$B$20001,$B$3,DATA_Historique!$J$2:$J$20001,TODAY()))</f>
        <v>3</v>
      </c>
      <c r="C6" s="22"/>
      <c r="D6" s="31"/>
      <c r="E6" s="37">
        <f ca="1">IF($B$3="",0,COUNTIFS(DATA_Historique!$B$2:$B$20001,$B$3,DATA_Historique!$J$2:$J$20001,"&gt;="&amp;TODAY()-WEEKDAY(TODAY(),2)+1,DATA_Historique!$J$2:$J$20001,"&lt;"&amp;TODAY()-WEEKDAY(TODAY(),2)+8))</f>
        <v>3</v>
      </c>
      <c r="F6" s="32"/>
      <c r="G6" s="40"/>
      <c r="H6" s="46">
        <f ca="1">IF($B$3="",0,COUNTIFS(DATA_Historique!$B$2:$B$20001,$B$3,DATA_Historique!$J$2:$J$20001,"&gt;="&amp;EOMONTH(TODAY(),-1)+1,DATA_Historique!$J$2:$J$20001,"&lt;"&amp;EOMONTH(TODAY(),0)+1))</f>
        <v>3</v>
      </c>
      <c r="I6" s="41"/>
      <c r="J6" s="49"/>
      <c r="K6" s="55">
        <f>IF($B$3="",0,COUNTIFS(DATA_Temp!$C$2:$C$19998,$B$3,DATA_Temp!$K$2:$K$19998,"A_ENREGISTRER"))</f>
        <v>0</v>
      </c>
      <c r="L6" s="50"/>
    </row>
    <row r="7" spans="1:12">
      <c r="A7" s="21"/>
      <c r="B7" s="3"/>
      <c r="C7" s="22"/>
      <c r="D7" s="31"/>
      <c r="E7" s="28"/>
      <c r="F7" s="32"/>
      <c r="G7" s="40"/>
      <c r="H7" s="5"/>
      <c r="I7" s="41"/>
      <c r="J7" s="49"/>
      <c r="K7" s="7"/>
      <c r="L7" s="50"/>
    </row>
    <row r="8" spans="1:12">
      <c r="A8" s="23"/>
      <c r="B8" s="24"/>
      <c r="C8" s="25"/>
      <c r="D8" s="33"/>
      <c r="E8" s="34"/>
      <c r="F8" s="35"/>
      <c r="G8" s="42"/>
      <c r="H8" s="43"/>
      <c r="I8" s="44"/>
      <c r="J8" s="51"/>
      <c r="K8" s="52"/>
      <c r="L8" s="53"/>
    </row>
    <row r="10" spans="1:12" ht="14.4">
      <c r="A10" s="1" t="s">
        <v>91</v>
      </c>
      <c r="B10" s="89">
        <v>46252</v>
      </c>
      <c r="D10" s="82" t="s">
        <v>92</v>
      </c>
      <c r="E10" s="82"/>
      <c r="F10" s="82"/>
      <c r="G10" s="82"/>
      <c r="H10" s="82"/>
      <c r="I10" s="82"/>
      <c r="J10" s="82"/>
      <c r="K10" s="82"/>
      <c r="L10" s="82"/>
    </row>
    <row r="13" spans="1:12">
      <c r="A13" s="83" t="s">
        <v>93</v>
      </c>
      <c r="B13" s="83"/>
      <c r="C13" s="83"/>
    </row>
    <row r="14" spans="1:12">
      <c r="A14" s="2" t="s">
        <v>94</v>
      </c>
      <c r="B14" s="2" t="s">
        <v>95</v>
      </c>
      <c r="C14" s="2" t="s">
        <v>90</v>
      </c>
    </row>
    <row r="15" spans="1:12">
      <c r="A15" s="92">
        <f ca="1">IF(ROW()-14&lt;=DAY(EOMONTH(TODAY(),0)),DATE(YEAR(TODAY()),MONTH(TODAY()),ROW()-14),"")</f>
        <v>46235</v>
      </c>
      <c r="B15" s="56">
        <f ca="1">IF($A15="","",COUNTIFS(DATA_Historique!$B$2:$B$20001,$B$3,DATA_Historique!$J$2:$J$20001,DATE(YEAR(TODAY()),MONTH(TODAY()),ROW()-14)))</f>
        <v>0</v>
      </c>
      <c r="C15" s="56">
        <f ca="1">IF($A15="","",COUNTIFS(DATA_Temp!$C$2:$C$19998,$B$3,DATA_Temp!$M$2:$M$19998,DATE(YEAR(TODAY()),MONTH(TODAY()),ROW()-14),DATA_Temp!$K$2:$K$19998,"A_ENREGISTRER"))</f>
        <v>0</v>
      </c>
    </row>
    <row r="16" spans="1:12">
      <c r="A16" s="92">
        <f t="shared" ref="A16:A45" ca="1" si="0">IF(ROW()-14&lt;=DAY(EOMONTH(TODAY(),0)),DATE(YEAR(TODAY()),MONTH(TODAY()),ROW()-14),"")</f>
        <v>46236</v>
      </c>
      <c r="B16" s="56">
        <f ca="1">IF($A16="","",COUNTIFS(DATA_Historique!$B$2:$B$20001,$B$3,DATA_Historique!$J$2:$J$20001,DATE(YEAR(TODAY()),MONTH(TODAY()),ROW()-14)))</f>
        <v>0</v>
      </c>
      <c r="C16" s="56">
        <f ca="1">IF($A16="","",COUNTIFS(DATA_Temp!$C$2:$C$19998,$B$3,DATA_Temp!$M$2:$M$19998,DATE(YEAR(TODAY()),MONTH(TODAY()),ROW()-14),DATA_Temp!$K$2:$K$19998,"A_ENREGISTRER"))</f>
        <v>0</v>
      </c>
    </row>
    <row r="17" spans="1:3">
      <c r="A17" s="92">
        <f t="shared" ca="1" si="0"/>
        <v>46237</v>
      </c>
      <c r="B17" s="56">
        <f ca="1">IF($A17="","",COUNTIFS(DATA_Historique!$B$2:$B$20001,$B$3,DATA_Historique!$J$2:$J$20001,DATE(YEAR(TODAY()),MONTH(TODAY()),ROW()-14)))</f>
        <v>0</v>
      </c>
      <c r="C17" s="56">
        <f ca="1">IF($A17="","",COUNTIFS(DATA_Temp!$C$2:$C$19998,$B$3,DATA_Temp!$M$2:$M$19998,DATE(YEAR(TODAY()),MONTH(TODAY()),ROW()-14),DATA_Temp!$K$2:$K$19998,"A_ENREGISTRER"))</f>
        <v>0</v>
      </c>
    </row>
    <row r="18" spans="1:3">
      <c r="A18" s="92">
        <f t="shared" ca="1" si="0"/>
        <v>46238</v>
      </c>
      <c r="B18" s="56">
        <f ca="1">IF($A18="","",COUNTIFS(DATA_Historique!$B$2:$B$20001,$B$3,DATA_Historique!$J$2:$J$20001,DATE(YEAR(TODAY()),MONTH(TODAY()),ROW()-14)))</f>
        <v>0</v>
      </c>
      <c r="C18" s="56">
        <f ca="1">IF($A18="","",COUNTIFS(DATA_Temp!$C$2:$C$19998,$B$3,DATA_Temp!$M$2:$M$19998,DATE(YEAR(TODAY()),MONTH(TODAY()),ROW()-14),DATA_Temp!$K$2:$K$19998,"A_ENREGISTRER"))</f>
        <v>0</v>
      </c>
    </row>
    <row r="19" spans="1:3">
      <c r="A19" s="92">
        <f t="shared" ca="1" si="0"/>
        <v>46239</v>
      </c>
      <c r="B19" s="56">
        <f ca="1">IF($A19="","",COUNTIFS(DATA_Historique!$B$2:$B$20001,$B$3,DATA_Historique!$J$2:$J$20001,DATE(YEAR(TODAY()),MONTH(TODAY()),ROW()-14)))</f>
        <v>0</v>
      </c>
      <c r="C19" s="56">
        <f ca="1">IF($A19="","",COUNTIFS(DATA_Temp!$C$2:$C$19998,$B$3,DATA_Temp!$M$2:$M$19998,DATE(YEAR(TODAY()),MONTH(TODAY()),ROW()-14),DATA_Temp!$K$2:$K$19998,"A_ENREGISTRER"))</f>
        <v>0</v>
      </c>
    </row>
    <row r="20" spans="1:3">
      <c r="A20" s="92">
        <f t="shared" ca="1" si="0"/>
        <v>46240</v>
      </c>
      <c r="B20" s="56">
        <f ca="1">IF($A20="","",COUNTIFS(DATA_Historique!$B$2:$B$20001,$B$3,DATA_Historique!$J$2:$J$20001,DATE(YEAR(TODAY()),MONTH(TODAY()),ROW()-14)))</f>
        <v>0</v>
      </c>
      <c r="C20" s="56">
        <f ca="1">IF($A20="","",COUNTIFS(DATA_Temp!$C$2:$C$19998,$B$3,DATA_Temp!$M$2:$M$19998,DATE(YEAR(TODAY()),MONTH(TODAY()),ROW()-14),DATA_Temp!$K$2:$K$19998,"A_ENREGISTRER"))</f>
        <v>0</v>
      </c>
    </row>
    <row r="21" spans="1:3">
      <c r="A21" s="92">
        <f t="shared" ca="1" si="0"/>
        <v>46241</v>
      </c>
      <c r="B21" s="56">
        <f ca="1">IF($A21="","",COUNTIFS(DATA_Historique!$B$2:$B$20001,$B$3,DATA_Historique!$J$2:$J$20001,DATE(YEAR(TODAY()),MONTH(TODAY()),ROW()-14)))</f>
        <v>0</v>
      </c>
      <c r="C21" s="56">
        <f ca="1">IF($A21="","",COUNTIFS(DATA_Temp!$C$2:$C$19998,$B$3,DATA_Temp!$M$2:$M$19998,DATE(YEAR(TODAY()),MONTH(TODAY()),ROW()-14),DATA_Temp!$K$2:$K$19998,"A_ENREGISTRER"))</f>
        <v>0</v>
      </c>
    </row>
    <row r="22" spans="1:3">
      <c r="A22" s="92">
        <f t="shared" ca="1" si="0"/>
        <v>46242</v>
      </c>
      <c r="B22" s="56">
        <f ca="1">IF($A22="","",COUNTIFS(DATA_Historique!$B$2:$B$20001,$B$3,DATA_Historique!$J$2:$J$20001,DATE(YEAR(TODAY()),MONTH(TODAY()),ROW()-14)))</f>
        <v>0</v>
      </c>
      <c r="C22" s="56">
        <f ca="1">IF($A22="","",COUNTIFS(DATA_Temp!$C$2:$C$19998,$B$3,DATA_Temp!$M$2:$M$19998,DATE(YEAR(TODAY()),MONTH(TODAY()),ROW()-14),DATA_Temp!$K$2:$K$19998,"A_ENREGISTRER"))</f>
        <v>0</v>
      </c>
    </row>
    <row r="23" spans="1:3">
      <c r="A23" s="92">
        <f t="shared" ca="1" si="0"/>
        <v>46243</v>
      </c>
      <c r="B23" s="56">
        <f ca="1">IF($A23="","",COUNTIFS(DATA_Historique!$B$2:$B$20001,$B$3,DATA_Historique!$J$2:$J$20001,DATE(YEAR(TODAY()),MONTH(TODAY()),ROW()-14)))</f>
        <v>0</v>
      </c>
      <c r="C23" s="56">
        <f ca="1">IF($A23="","",COUNTIFS(DATA_Temp!$C$2:$C$19998,$B$3,DATA_Temp!$M$2:$M$19998,DATE(YEAR(TODAY()),MONTH(TODAY()),ROW()-14),DATA_Temp!$K$2:$K$19998,"A_ENREGISTRER"))</f>
        <v>0</v>
      </c>
    </row>
    <row r="24" spans="1:3">
      <c r="A24" s="92">
        <f t="shared" ca="1" si="0"/>
        <v>46244</v>
      </c>
      <c r="B24" s="56">
        <f ca="1">IF($A24="","",COUNTIFS(DATA_Historique!$B$2:$B$20001,$B$3,DATA_Historique!$J$2:$J$20001,DATE(YEAR(TODAY()),MONTH(TODAY()),ROW()-14)))</f>
        <v>0</v>
      </c>
      <c r="C24" s="56">
        <f ca="1">IF($A24="","",COUNTIFS(DATA_Temp!$C$2:$C$19998,$B$3,DATA_Temp!$M$2:$M$19998,DATE(YEAR(TODAY()),MONTH(TODAY()),ROW()-14),DATA_Temp!$K$2:$K$19998,"A_ENREGISTRER"))</f>
        <v>0</v>
      </c>
    </row>
    <row r="25" spans="1:3">
      <c r="A25" s="92">
        <f t="shared" ca="1" si="0"/>
        <v>46245</v>
      </c>
      <c r="B25" s="56">
        <f ca="1">IF($A25="","",COUNTIFS(DATA_Historique!$B$2:$B$20001,$B$3,DATA_Historique!$J$2:$J$20001,DATE(YEAR(TODAY()),MONTH(TODAY()),ROW()-14)))</f>
        <v>0</v>
      </c>
      <c r="C25" s="56">
        <f ca="1">IF($A25="","",COUNTIFS(DATA_Temp!$C$2:$C$19998,$B$3,DATA_Temp!$M$2:$M$19998,DATE(YEAR(TODAY()),MONTH(TODAY()),ROW()-14),DATA_Temp!$K$2:$K$19998,"A_ENREGISTRER"))</f>
        <v>0</v>
      </c>
    </row>
    <row r="26" spans="1:3">
      <c r="A26" s="92">
        <f t="shared" ca="1" si="0"/>
        <v>46246</v>
      </c>
      <c r="B26" s="56">
        <f ca="1">IF($A26="","",COUNTIFS(DATA_Historique!$B$2:$B$20001,$B$3,DATA_Historique!$J$2:$J$20001,DATE(YEAR(TODAY()),MONTH(TODAY()),ROW()-14)))</f>
        <v>0</v>
      </c>
      <c r="C26" s="56">
        <f ca="1">IF($A26="","",COUNTIFS(DATA_Temp!$C$2:$C$19998,$B$3,DATA_Temp!$M$2:$M$19998,DATE(YEAR(TODAY()),MONTH(TODAY()),ROW()-14),DATA_Temp!$K$2:$K$19998,"A_ENREGISTRER"))</f>
        <v>0</v>
      </c>
    </row>
    <row r="27" spans="1:3">
      <c r="A27" s="92">
        <f t="shared" ca="1" si="0"/>
        <v>46247</v>
      </c>
      <c r="B27" s="56">
        <f ca="1">IF($A27="","",COUNTIFS(DATA_Historique!$B$2:$B$20001,$B$3,DATA_Historique!$J$2:$J$20001,DATE(YEAR(TODAY()),MONTH(TODAY()),ROW()-14)))</f>
        <v>0</v>
      </c>
      <c r="C27" s="56">
        <f ca="1">IF($A27="","",COUNTIFS(DATA_Temp!$C$2:$C$19998,$B$3,DATA_Temp!$M$2:$M$19998,DATE(YEAR(TODAY()),MONTH(TODAY()),ROW()-14),DATA_Temp!$K$2:$K$19998,"A_ENREGISTRER"))</f>
        <v>0</v>
      </c>
    </row>
    <row r="28" spans="1:3">
      <c r="A28" s="92">
        <f t="shared" ca="1" si="0"/>
        <v>46248</v>
      </c>
      <c r="B28" s="56">
        <f ca="1">IF($A28="","",COUNTIFS(DATA_Historique!$B$2:$B$20001,$B$3,DATA_Historique!$J$2:$J$20001,DATE(YEAR(TODAY()),MONTH(TODAY()),ROW()-14)))</f>
        <v>0</v>
      </c>
      <c r="C28" s="56">
        <f ca="1">IF($A28="","",COUNTIFS(DATA_Temp!$C$2:$C$19998,$B$3,DATA_Temp!$M$2:$M$19998,DATE(YEAR(TODAY()),MONTH(TODAY()),ROW()-14),DATA_Temp!$K$2:$K$19998,"A_ENREGISTRER"))</f>
        <v>0</v>
      </c>
    </row>
    <row r="29" spans="1:3">
      <c r="A29" s="92">
        <f t="shared" ca="1" si="0"/>
        <v>46249</v>
      </c>
      <c r="B29" s="56">
        <f ca="1">IF($A29="","",COUNTIFS(DATA_Historique!$B$2:$B$20001,$B$3,DATA_Historique!$J$2:$J$20001,DATE(YEAR(TODAY()),MONTH(TODAY()),ROW()-14)))</f>
        <v>0</v>
      </c>
      <c r="C29" s="56">
        <f ca="1">IF($A29="","",COUNTIFS(DATA_Temp!$C$2:$C$19998,$B$3,DATA_Temp!$M$2:$M$19998,DATE(YEAR(TODAY()),MONTH(TODAY()),ROW()-14),DATA_Temp!$K$2:$K$19998,"A_ENREGISTRER"))</f>
        <v>0</v>
      </c>
    </row>
    <row r="30" spans="1:3">
      <c r="A30" s="92">
        <f t="shared" ca="1" si="0"/>
        <v>46250</v>
      </c>
      <c r="B30" s="56">
        <f ca="1">IF($A30="","",COUNTIFS(DATA_Historique!$B$2:$B$20001,$B$3,DATA_Historique!$J$2:$J$20001,DATE(YEAR(TODAY()),MONTH(TODAY()),ROW()-14)))</f>
        <v>0</v>
      </c>
      <c r="C30" s="56">
        <f ca="1">IF($A30="","",COUNTIFS(DATA_Temp!$C$2:$C$19998,$B$3,DATA_Temp!$M$2:$M$19998,DATE(YEAR(TODAY()),MONTH(TODAY()),ROW()-14),DATA_Temp!$K$2:$K$19998,"A_ENREGISTRER"))</f>
        <v>0</v>
      </c>
    </row>
    <row r="31" spans="1:3">
      <c r="A31" s="92">
        <f t="shared" ca="1" si="0"/>
        <v>46251</v>
      </c>
      <c r="B31" s="56">
        <f ca="1">IF($A31="","",COUNTIFS(DATA_Historique!$B$2:$B$20001,$B$3,DATA_Historique!$J$2:$J$20001,DATE(YEAR(TODAY()),MONTH(TODAY()),ROW()-14)))</f>
        <v>0</v>
      </c>
      <c r="C31" s="56">
        <f ca="1">IF($A31="","",COUNTIFS(DATA_Temp!$C$2:$C$19998,$B$3,DATA_Temp!$M$2:$M$19998,DATE(YEAR(TODAY()),MONTH(TODAY()),ROW()-14),DATA_Temp!$K$2:$K$19998,"A_ENREGISTRER"))</f>
        <v>0</v>
      </c>
    </row>
    <row r="32" spans="1:3">
      <c r="A32" s="92">
        <f t="shared" ca="1" si="0"/>
        <v>46252</v>
      </c>
      <c r="B32" s="56">
        <f ca="1">IF($A32="","",COUNTIFS(DATA_Historique!$B$2:$B$20001,$B$3,DATA_Historique!$J$2:$J$20001,DATE(YEAR(TODAY()),MONTH(TODAY()),ROW()-14)))</f>
        <v>3</v>
      </c>
      <c r="C32" s="56">
        <f ca="1">IF($A32="","",COUNTIFS(DATA_Temp!$C$2:$C$19998,$B$3,DATA_Temp!$M$2:$M$19998,DATE(YEAR(TODAY()),MONTH(TODAY()),ROW()-14),DATA_Temp!$K$2:$K$19998,"A_ENREGISTRER"))</f>
        <v>0</v>
      </c>
    </row>
    <row r="33" spans="1:6">
      <c r="A33" s="92">
        <f t="shared" ca="1" si="0"/>
        <v>46253</v>
      </c>
      <c r="B33" s="56">
        <f ca="1">IF($A33="","",COUNTIFS(DATA_Historique!$B$2:$B$20001,$B$3,DATA_Historique!$J$2:$J$20001,DATE(YEAR(TODAY()),MONTH(TODAY()),ROW()-14)))</f>
        <v>0</v>
      </c>
      <c r="C33" s="56">
        <f ca="1">IF($A33="","",COUNTIFS(DATA_Temp!$C$2:$C$19998,$B$3,DATA_Temp!$M$2:$M$19998,DATE(YEAR(TODAY()),MONTH(TODAY()),ROW()-14),DATA_Temp!$K$2:$K$19998,"A_ENREGISTRER"))</f>
        <v>0</v>
      </c>
    </row>
    <row r="34" spans="1:6">
      <c r="A34" s="92">
        <f t="shared" ca="1" si="0"/>
        <v>46254</v>
      </c>
      <c r="B34" s="56">
        <f ca="1">IF($A34="","",COUNTIFS(DATA_Historique!$B$2:$B$20001,$B$3,DATA_Historique!$J$2:$J$20001,DATE(YEAR(TODAY()),MONTH(TODAY()),ROW()-14)))</f>
        <v>0</v>
      </c>
      <c r="C34" s="56">
        <f ca="1">IF($A34="","",COUNTIFS(DATA_Temp!$C$2:$C$19998,$B$3,DATA_Temp!$M$2:$M$19998,DATE(YEAR(TODAY()),MONTH(TODAY()),ROW()-14),DATA_Temp!$K$2:$K$19998,"A_ENREGISTRER"))</f>
        <v>0</v>
      </c>
      <c r="E34" s="2" t="s">
        <v>96</v>
      </c>
      <c r="F34" s="2" t="s">
        <v>89</v>
      </c>
    </row>
    <row r="35" spans="1:6">
      <c r="A35" s="92">
        <f t="shared" ca="1" si="0"/>
        <v>46255</v>
      </c>
      <c r="B35" s="56">
        <f ca="1">IF($A35="","",COUNTIFS(DATA_Historique!$B$2:$B$20001,$B$3,DATA_Historique!$J$2:$J$20001,DATE(YEAR(TODAY()),MONTH(TODAY()),ROW()-14)))</f>
        <v>0</v>
      </c>
      <c r="C35" s="56">
        <f ca="1">IF($A35="","",COUNTIFS(DATA_Temp!$C$2:$C$19998,$B$3,DATA_Temp!$M$2:$M$19998,DATE(YEAR(TODAY()),MONTH(TODAY()),ROW()-14),DATA_Temp!$K$2:$K$19998,"A_ENREGISTRER"))</f>
        <v>0</v>
      </c>
      <c r="E35" s="57" t="str">
        <f>Parametres!A2</f>
        <v>Octroi Classique</v>
      </c>
      <c r="F35" s="57">
        <f ca="1">COUNTIFS(DATA_Historique!$B$2:$B$20001,$B$3,DATA_Historique!$D$2:$D$20001,E35,DATA_Historique!$J$2:$J$20001,"&gt;="&amp;EOMONTH(TODAY(),-1)+1,DATA_Historique!$J$2:$J$20001,"&lt;"&amp;EOMONTH(TODAY(),0)+1)</f>
        <v>1</v>
      </c>
    </row>
    <row r="36" spans="1:6">
      <c r="A36" s="92">
        <f t="shared" ca="1" si="0"/>
        <v>46256</v>
      </c>
      <c r="B36" s="56">
        <f ca="1">IF($A36="","",COUNTIFS(DATA_Historique!$B$2:$B$20001,$B$3,DATA_Historique!$J$2:$J$20001,DATE(YEAR(TODAY()),MONTH(TODAY()),ROW()-14)))</f>
        <v>0</v>
      </c>
      <c r="C36" s="56">
        <f ca="1">IF($A36="","",COUNTIFS(DATA_Temp!$C$2:$C$19998,$B$3,DATA_Temp!$M$2:$M$19998,DATE(YEAR(TODAY()),MONTH(TODAY()),ROW()-14),DATA_Temp!$K$2:$K$19998,"A_ENREGISTRER"))</f>
        <v>0</v>
      </c>
      <c r="E36" s="57" t="str">
        <f>Parametres!A3</f>
        <v>Live Console</v>
      </c>
      <c r="F36" s="57">
        <f ca="1">COUNTIFS(DATA_Historique!$B$2:$B$20001,$B$3,DATA_Historique!$D$2:$D$20001,E36,DATA_Historique!$J$2:$J$20001,"&gt;="&amp;EOMONTH(TODAY(),-1)+1,DATA_Historique!$J$2:$J$20001,"&lt;"&amp;EOMONTH(TODAY(),0)+1)</f>
        <v>2</v>
      </c>
    </row>
    <row r="37" spans="1:6">
      <c r="A37" s="92">
        <f t="shared" ca="1" si="0"/>
        <v>46257</v>
      </c>
      <c r="B37" s="56">
        <f ca="1">IF($A37="","",COUNTIFS(DATA_Historique!$B$2:$B$20001,$B$3,DATA_Historique!$J$2:$J$20001,DATE(YEAR(TODAY()),MONTH(TODAY()),ROW()-14)))</f>
        <v>0</v>
      </c>
      <c r="C37" s="56">
        <f ca="1">IF($A37="","",COUNTIFS(DATA_Temp!$C$2:$C$19998,$B$3,DATA_Temp!$M$2:$M$19998,DATE(YEAR(TODAY()),MONTH(TODAY()),ROW()-14),DATA_Temp!$K$2:$K$19998,"A_ENREGISTRER"))</f>
        <v>0</v>
      </c>
      <c r="E37" s="57" t="str">
        <f>Parametres!A4</f>
        <v>Live CLA</v>
      </c>
      <c r="F37" s="57">
        <f ca="1">COUNTIFS(DATA_Historique!$B$2:$B$20001,$B$3,DATA_Historique!$D$2:$D$20001,E37,DATA_Historique!$J$2:$J$20001,"&gt;="&amp;EOMONTH(TODAY(),-1)+1,DATA_Historique!$J$2:$J$20001,"&lt;"&amp;EOMONTH(TODAY(),0)+1)</f>
        <v>0</v>
      </c>
    </row>
    <row r="38" spans="1:6">
      <c r="A38" s="92">
        <f t="shared" ca="1" si="0"/>
        <v>46258</v>
      </c>
      <c r="B38" s="56">
        <f ca="1">IF($A38="","",COUNTIFS(DATA_Historique!$B$2:$B$20001,$B$3,DATA_Historique!$J$2:$J$20001,DATE(YEAR(TODAY()),MONTH(TODAY()),ROW()-14)))</f>
        <v>0</v>
      </c>
      <c r="C38" s="56">
        <f ca="1">IF($A38="","",COUNTIFS(DATA_Temp!$C$2:$C$19998,$B$3,DATA_Temp!$M$2:$M$19998,DATE(YEAR(TODAY()),MONTH(TODAY()),ROW()-14),DATA_Temp!$K$2:$K$19998,"A_ENREGISTRER"))</f>
        <v>0</v>
      </c>
    </row>
    <row r="39" spans="1:6">
      <c r="A39" s="92">
        <f t="shared" ca="1" si="0"/>
        <v>46259</v>
      </c>
      <c r="B39" s="56">
        <f ca="1">IF($A39="","",COUNTIFS(DATA_Historique!$B$2:$B$20001,$B$3,DATA_Historique!$J$2:$J$20001,DATE(YEAR(TODAY()),MONTH(TODAY()),ROW()-14)))</f>
        <v>0</v>
      </c>
      <c r="C39" s="56">
        <f ca="1">IF($A39="","",COUNTIFS(DATA_Temp!$C$2:$C$19998,$B$3,DATA_Temp!$M$2:$M$19998,DATE(YEAR(TODAY()),MONTH(TODAY()),ROW()-14),DATA_Temp!$K$2:$K$19998,"A_ENREGISTRER"))</f>
        <v>0</v>
      </c>
    </row>
    <row r="40" spans="1:6">
      <c r="A40" s="92">
        <f t="shared" ca="1" si="0"/>
        <v>46260</v>
      </c>
      <c r="B40" s="56">
        <f ca="1">IF($A40="","",COUNTIFS(DATA_Historique!$B$2:$B$20001,$B$3,DATA_Historique!$J$2:$J$20001,DATE(YEAR(TODAY()),MONTH(TODAY()),ROW()-14)))</f>
        <v>0</v>
      </c>
      <c r="C40" s="56">
        <f ca="1">IF($A40="","",COUNTIFS(DATA_Temp!$C$2:$C$19998,$B$3,DATA_Temp!$M$2:$M$19998,DATE(YEAR(TODAY()),MONTH(TODAY()),ROW()-14),DATA_Temp!$K$2:$K$19998,"A_ENREGISTRER"))</f>
        <v>0</v>
      </c>
    </row>
    <row r="41" spans="1:6">
      <c r="A41" s="92">
        <f t="shared" ca="1" si="0"/>
        <v>46261</v>
      </c>
      <c r="B41" s="56">
        <f ca="1">IF($A41="","",COUNTIFS(DATA_Historique!$B$2:$B$20001,$B$3,DATA_Historique!$J$2:$J$20001,DATE(YEAR(TODAY()),MONTH(TODAY()),ROW()-14)))</f>
        <v>0</v>
      </c>
      <c r="C41" s="56">
        <f ca="1">IF($A41="","",COUNTIFS(DATA_Temp!$C$2:$C$19998,$B$3,DATA_Temp!$M$2:$M$19998,DATE(YEAR(TODAY()),MONTH(TODAY()),ROW()-14),DATA_Temp!$K$2:$K$19998,"A_ENREGISTRER"))</f>
        <v>0</v>
      </c>
    </row>
    <row r="42" spans="1:6">
      <c r="A42" s="92">
        <f t="shared" ca="1" si="0"/>
        <v>46262</v>
      </c>
      <c r="B42" s="56">
        <f ca="1">IF($A42="","",COUNTIFS(DATA_Historique!$B$2:$B$20001,$B$3,DATA_Historique!$J$2:$J$20001,DATE(YEAR(TODAY()),MONTH(TODAY()),ROW()-14)))</f>
        <v>0</v>
      </c>
      <c r="C42" s="56">
        <f ca="1">IF($A42="","",COUNTIFS(DATA_Temp!$C$2:$C$19998,$B$3,DATA_Temp!$M$2:$M$19998,DATE(YEAR(TODAY()),MONTH(TODAY()),ROW()-14),DATA_Temp!$K$2:$K$19998,"A_ENREGISTRER"))</f>
        <v>0</v>
      </c>
    </row>
    <row r="43" spans="1:6">
      <c r="A43" s="92">
        <f t="shared" ca="1" si="0"/>
        <v>46263</v>
      </c>
      <c r="B43" s="56">
        <f ca="1">IF($A43="","",COUNTIFS(DATA_Historique!$B$2:$B$20001,$B$3,DATA_Historique!$J$2:$J$20001,DATE(YEAR(TODAY()),MONTH(TODAY()),ROW()-14)))</f>
        <v>0</v>
      </c>
      <c r="C43" s="56">
        <f ca="1">IF($A43="","",COUNTIFS(DATA_Temp!$C$2:$C$19998,$B$3,DATA_Temp!$M$2:$M$19998,DATE(YEAR(TODAY()),MONTH(TODAY()),ROW()-14),DATA_Temp!$K$2:$K$19998,"A_ENREGISTRER"))</f>
        <v>0</v>
      </c>
    </row>
    <row r="44" spans="1:6">
      <c r="A44" s="92">
        <f t="shared" ca="1" si="0"/>
        <v>46264</v>
      </c>
      <c r="B44" s="56">
        <f ca="1">IF($A44="","",COUNTIFS(DATA_Historique!$B$2:$B$20001,$B$3,DATA_Historique!$J$2:$J$20001,DATE(YEAR(TODAY()),MONTH(TODAY()),ROW()-14)))</f>
        <v>0</v>
      </c>
      <c r="C44" s="56">
        <f ca="1">IF($A44="","",COUNTIFS(DATA_Temp!$C$2:$C$19998,$B$3,DATA_Temp!$M$2:$M$19998,DATE(YEAR(TODAY()),MONTH(TODAY()),ROW()-14),DATA_Temp!$K$2:$K$19998,"A_ENREGISTRER"))</f>
        <v>0</v>
      </c>
    </row>
    <row r="45" spans="1:6">
      <c r="A45" s="92">
        <f t="shared" ca="1" si="0"/>
        <v>46265</v>
      </c>
      <c r="B45" s="56">
        <f ca="1">IF($A45="","",COUNTIFS(DATA_Historique!$B$2:$B$20001,$B$3,DATA_Historique!$J$2:$J$20001,DATE(YEAR(TODAY()),MONTH(TODAY()),ROW()-14)))</f>
        <v>0</v>
      </c>
      <c r="C45" s="56">
        <f ca="1">IF($A45="","",COUNTIFS(DATA_Temp!$C$2:$C$19998,$B$3,DATA_Temp!$M$2:$M$19998,DATE(YEAR(TODAY()),MONTH(TODAY()),ROW()-14),DATA_Temp!$K$2:$K$19998,"A_ENREGISTRER"))</f>
        <v>0</v>
      </c>
    </row>
    <row r="50" spans="1:9">
      <c r="A50" s="83" t="s">
        <v>117</v>
      </c>
      <c r="B50" s="83"/>
      <c r="C50" s="83"/>
      <c r="D50" s="83"/>
      <c r="E50" s="83"/>
      <c r="F50" s="83"/>
      <c r="G50" s="83"/>
      <c r="H50" s="83"/>
      <c r="I50" s="83"/>
    </row>
    <row r="52" spans="1:9">
      <c r="A52" s="58" t="s">
        <v>97</v>
      </c>
      <c r="B52" s="58" t="s">
        <v>98</v>
      </c>
      <c r="C52" s="58" t="s">
        <v>99</v>
      </c>
      <c r="D52" s="58" t="s">
        <v>96</v>
      </c>
      <c r="E52" s="58" t="s">
        <v>52</v>
      </c>
      <c r="F52" s="58" t="s">
        <v>100</v>
      </c>
      <c r="G52" s="58" t="s">
        <v>101</v>
      </c>
      <c r="H52" s="58" t="s">
        <v>55</v>
      </c>
      <c r="I52" s="58" t="s">
        <v>102</v>
      </c>
    </row>
    <row r="53" spans="1:9">
      <c r="A53" s="59" t="s">
        <v>120</v>
      </c>
      <c r="B53" s="60">
        <v>123456</v>
      </c>
      <c r="C53" s="90">
        <v>46252.091099537036</v>
      </c>
      <c r="D53" s="60" t="s">
        <v>57</v>
      </c>
      <c r="E53" s="60" t="s">
        <v>59</v>
      </c>
      <c r="F53" s="60" t="s">
        <v>60</v>
      </c>
      <c r="G53" s="60" t="s">
        <v>61</v>
      </c>
      <c r="H53" s="60" t="s">
        <v>58</v>
      </c>
      <c r="I53" s="61" t="s">
        <v>115</v>
      </c>
    </row>
    <row r="54" spans="1:9">
      <c r="A54" s="62" t="s">
        <v>120</v>
      </c>
      <c r="B54" s="63">
        <v>123456</v>
      </c>
      <c r="C54" s="91">
        <v>46252.091400462959</v>
      </c>
      <c r="D54" s="63" t="s">
        <v>62</v>
      </c>
      <c r="E54" s="63" t="s">
        <v>78</v>
      </c>
      <c r="F54" s="63"/>
      <c r="G54" s="63" t="s">
        <v>61</v>
      </c>
      <c r="H54" s="63"/>
      <c r="I54" s="64" t="s">
        <v>115</v>
      </c>
    </row>
    <row r="55" spans="1:9">
      <c r="A55" s="62" t="s">
        <v>120</v>
      </c>
      <c r="B55" s="63">
        <v>1234567</v>
      </c>
      <c r="C55" s="91">
        <v>46252.091608796298</v>
      </c>
      <c r="D55" s="63" t="s">
        <v>62</v>
      </c>
      <c r="E55" s="63" t="s">
        <v>78</v>
      </c>
      <c r="F55" s="63"/>
      <c r="G55" s="63" t="s">
        <v>61</v>
      </c>
      <c r="H55" s="63"/>
      <c r="I55" s="64" t="s">
        <v>115</v>
      </c>
    </row>
    <row r="56" spans="1:9">
      <c r="A56" s="62"/>
      <c r="B56" s="63"/>
      <c r="C56" s="63"/>
      <c r="D56" s="63"/>
      <c r="E56" s="63"/>
      <c r="F56" s="63"/>
      <c r="G56" s="63"/>
      <c r="H56" s="63"/>
      <c r="I56" s="64"/>
    </row>
    <row r="57" spans="1:9">
      <c r="A57" s="62"/>
      <c r="B57" s="63"/>
      <c r="C57" s="63"/>
      <c r="D57" s="63"/>
      <c r="E57" s="63"/>
      <c r="F57" s="63"/>
      <c r="G57" s="63"/>
      <c r="H57" s="63"/>
      <c r="I57" s="64"/>
    </row>
    <row r="58" spans="1:9">
      <c r="A58" s="62"/>
      <c r="B58" s="63"/>
      <c r="C58" s="63"/>
      <c r="D58" s="63"/>
      <c r="E58" s="63"/>
      <c r="F58" s="63"/>
      <c r="G58" s="63"/>
      <c r="H58" s="63"/>
      <c r="I58" s="64"/>
    </row>
    <row r="59" spans="1:9">
      <c r="A59" s="62"/>
      <c r="B59" s="63"/>
      <c r="C59" s="63"/>
      <c r="D59" s="63"/>
      <c r="E59" s="63"/>
      <c r="F59" s="63"/>
      <c r="G59" s="63"/>
      <c r="H59" s="63"/>
      <c r="I59" s="64"/>
    </row>
    <row r="60" spans="1:9">
      <c r="A60" s="62"/>
      <c r="B60" s="63"/>
      <c r="C60" s="63"/>
      <c r="D60" s="63"/>
      <c r="E60" s="63"/>
      <c r="F60" s="63"/>
      <c r="G60" s="63"/>
      <c r="H60" s="63"/>
      <c r="I60" s="64"/>
    </row>
    <row r="61" spans="1:9">
      <c r="A61" s="62"/>
      <c r="B61" s="63"/>
      <c r="C61" s="63"/>
      <c r="D61" s="63"/>
      <c r="E61" s="63"/>
      <c r="F61" s="63"/>
      <c r="G61" s="63"/>
      <c r="H61" s="63"/>
      <c r="I61" s="64"/>
    </row>
    <row r="62" spans="1:9">
      <c r="A62" s="62"/>
      <c r="B62" s="63"/>
      <c r="C62" s="63"/>
      <c r="D62" s="63"/>
      <c r="E62" s="63"/>
      <c r="F62" s="63"/>
      <c r="G62" s="63"/>
      <c r="H62" s="63"/>
      <c r="I62" s="64"/>
    </row>
    <row r="63" spans="1:9">
      <c r="A63" s="62"/>
      <c r="B63" s="63"/>
      <c r="C63" s="63"/>
      <c r="D63" s="63"/>
      <c r="E63" s="63"/>
      <c r="F63" s="63"/>
      <c r="G63" s="63"/>
      <c r="H63" s="63"/>
      <c r="I63" s="64"/>
    </row>
    <row r="64" spans="1:9">
      <c r="A64" s="62"/>
      <c r="B64" s="63"/>
      <c r="C64" s="63"/>
      <c r="D64" s="63"/>
      <c r="E64" s="63"/>
      <c r="F64" s="63"/>
      <c r="G64" s="63"/>
      <c r="H64" s="63"/>
      <c r="I64" s="64"/>
    </row>
    <row r="65" spans="1:9">
      <c r="A65" s="62"/>
      <c r="B65" s="63"/>
      <c r="C65" s="63"/>
      <c r="D65" s="63"/>
      <c r="E65" s="63"/>
      <c r="F65" s="63"/>
      <c r="G65" s="63"/>
      <c r="H65" s="63"/>
      <c r="I65" s="64"/>
    </row>
    <row r="66" spans="1:9">
      <c r="A66" s="62"/>
      <c r="B66" s="63"/>
      <c r="C66" s="63"/>
      <c r="D66" s="63"/>
      <c r="E66" s="63"/>
      <c r="F66" s="63"/>
      <c r="G66" s="63"/>
      <c r="H66" s="63"/>
      <c r="I66" s="64"/>
    </row>
    <row r="67" spans="1:9">
      <c r="A67" s="62"/>
      <c r="B67" s="63"/>
      <c r="C67" s="63"/>
      <c r="D67" s="63"/>
      <c r="E67" s="63"/>
      <c r="F67" s="63"/>
      <c r="G67" s="63"/>
      <c r="H67" s="63"/>
      <c r="I67" s="64"/>
    </row>
    <row r="68" spans="1:9">
      <c r="A68" s="62"/>
      <c r="B68" s="63"/>
      <c r="C68" s="63"/>
      <c r="D68" s="63"/>
      <c r="E68" s="63"/>
      <c r="F68" s="63"/>
      <c r="G68" s="63"/>
      <c r="H68" s="63"/>
      <c r="I68" s="64"/>
    </row>
    <row r="69" spans="1:9">
      <c r="A69" s="62"/>
      <c r="B69" s="63"/>
      <c r="C69" s="63"/>
      <c r="D69" s="63"/>
      <c r="E69" s="63"/>
      <c r="F69" s="63"/>
      <c r="G69" s="63"/>
      <c r="H69" s="63"/>
      <c r="I69" s="64"/>
    </row>
    <row r="70" spans="1:9">
      <c r="A70" s="62"/>
      <c r="B70" s="63"/>
      <c r="C70" s="63"/>
      <c r="D70" s="63"/>
      <c r="E70" s="63"/>
      <c r="F70" s="63"/>
      <c r="G70" s="63"/>
      <c r="H70" s="63"/>
      <c r="I70" s="64"/>
    </row>
    <row r="71" spans="1:9">
      <c r="A71" s="62"/>
      <c r="B71" s="63"/>
      <c r="C71" s="63"/>
      <c r="D71" s="63"/>
      <c r="E71" s="63"/>
      <c r="F71" s="63"/>
      <c r="G71" s="63"/>
      <c r="H71" s="63"/>
      <c r="I71" s="64"/>
    </row>
    <row r="72" spans="1:9">
      <c r="A72" s="65"/>
      <c r="B72" s="66"/>
      <c r="C72" s="66"/>
      <c r="D72" s="66"/>
      <c r="E72" s="66"/>
      <c r="F72" s="66"/>
      <c r="G72" s="66"/>
      <c r="H72" s="66"/>
      <c r="I72" s="67"/>
    </row>
  </sheetData>
  <mergeCells count="4">
    <mergeCell ref="A1:L2"/>
    <mergeCell ref="D10:L10"/>
    <mergeCell ref="A13:C13"/>
    <mergeCell ref="A50:I50"/>
  </mergeCells>
  <conditionalFormatting sqref="F35:F37">
    <cfRule type="dataBar" priority="1">
      <dataBar>
        <cfvo type="min"/>
        <cfvo type="max"/>
        <color rgb="FF2F75B5"/>
      </dataBar>
    </cfRule>
  </conditionalFormatting>
  <conditionalFormatting sqref="A53:A72">
    <cfRule type="containsText" dxfId="5" priority="2" operator="containsText" text="EN ATTENTE"/>
    <cfRule type="containsText" dxfId="4" priority="3" operator="containsText" text="ENREGISTREE"/>
  </conditionalFormatting>
  <conditionalFormatting sqref="F35:F37">
    <cfRule type="dataBar" priority="4">
      <dataBar>
        <cfvo type="min"/>
        <cfvo type="max"/>
        <color rgb="FF2F75B5"/>
      </dataBar>
      <extLst>
        <ext xmlns:x14="http://schemas.microsoft.com/office/spreadsheetml/2009/9/main" uri="{B025F937-C7B1-47D3-B67F-A62EFF666E3E}">
          <x14:id>{E5D2A047-4238-8741-E2B3-85669B88D1C8}</x14:id>
        </ext>
      </extLst>
    </cfRule>
  </conditionalFormatting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D2A047-4238-8741-E2B3-85669B88D1C8}">
            <x14:dataBar>
              <x14:cfvo type="min"/>
              <x14:cfvo type="max"/>
              <x14:negativeFillColor auto="1"/>
              <x14:axisColor auto="1"/>
            </x14:dataBar>
          </x14:cfRule>
          <xm:sqref>F35:F37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M2"/>
  <sheetViews>
    <sheetView showGridLines="0" workbookViewId="0"/>
  </sheetViews>
  <sheetFormatPr baseColWidth="10" defaultColWidth="8.796875" defaultRowHeight="13.8"/>
  <cols>
    <col min="1" max="3" width="18" customWidth="1"/>
    <col min="4" max="4" width="18" style="69" customWidth="1"/>
    <col min="5" max="9" width="18" customWidth="1"/>
    <col min="10" max="10" width="42" customWidth="1"/>
    <col min="11" max="12" width="18" customWidth="1"/>
    <col min="13" max="13" width="18" style="86" customWidth="1"/>
  </cols>
  <sheetData>
    <row r="1" spans="1:13">
      <c r="A1" s="1" t="s">
        <v>103</v>
      </c>
      <c r="B1" s="1" t="s">
        <v>104</v>
      </c>
      <c r="C1" s="1" t="s">
        <v>105</v>
      </c>
      <c r="D1" s="17" t="s">
        <v>106</v>
      </c>
      <c r="E1" s="1" t="s">
        <v>49</v>
      </c>
      <c r="F1" s="1" t="s">
        <v>52</v>
      </c>
      <c r="G1" s="1" t="s">
        <v>53</v>
      </c>
      <c r="H1" s="1" t="s">
        <v>54</v>
      </c>
      <c r="I1" s="1" t="s">
        <v>55</v>
      </c>
      <c r="J1" s="1" t="s">
        <v>102</v>
      </c>
      <c r="K1" s="1" t="s">
        <v>107</v>
      </c>
      <c r="L1" s="1" t="s">
        <v>108</v>
      </c>
      <c r="M1" s="84" t="s">
        <v>109</v>
      </c>
    </row>
    <row r="2" spans="1:13">
      <c r="A2" s="5"/>
      <c r="B2" s="5"/>
      <c r="C2" s="5"/>
      <c r="D2" s="68"/>
      <c r="E2" s="5"/>
      <c r="F2" s="5"/>
      <c r="G2" s="5"/>
      <c r="H2" s="5"/>
      <c r="I2" s="5"/>
      <c r="J2" s="5"/>
      <c r="K2" s="5"/>
      <c r="L2" s="5"/>
      <c r="M2" s="85"/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5"/>
  <dimension ref="A1:N4"/>
  <sheetViews>
    <sheetView showGridLines="0" workbookViewId="0"/>
  </sheetViews>
  <sheetFormatPr baseColWidth="10" defaultColWidth="8.796875" defaultRowHeight="13.8"/>
  <cols>
    <col min="1" max="2" width="18" customWidth="1"/>
    <col min="3" max="3" width="18" style="69" customWidth="1"/>
    <col min="4" max="8" width="18" customWidth="1"/>
    <col min="9" max="9" width="42" customWidth="1"/>
    <col min="10" max="10" width="18" style="86" customWidth="1"/>
    <col min="11" max="13" width="18" customWidth="1"/>
    <col min="14" max="14" width="55" customWidth="1"/>
  </cols>
  <sheetData>
    <row r="1" spans="1:14">
      <c r="A1" s="1" t="s">
        <v>104</v>
      </c>
      <c r="B1" s="1" t="s">
        <v>105</v>
      </c>
      <c r="C1" s="17" t="s">
        <v>106</v>
      </c>
      <c r="D1" s="1" t="s">
        <v>49</v>
      </c>
      <c r="E1" s="1" t="s">
        <v>52</v>
      </c>
      <c r="F1" s="1" t="s">
        <v>53</v>
      </c>
      <c r="G1" s="1" t="s">
        <v>54</v>
      </c>
      <c r="H1" s="1" t="s">
        <v>55</v>
      </c>
      <c r="I1" s="1" t="s">
        <v>102</v>
      </c>
      <c r="J1" s="84" t="s">
        <v>109</v>
      </c>
      <c r="K1" s="1" t="s">
        <v>110</v>
      </c>
      <c r="L1" s="1" t="s">
        <v>111</v>
      </c>
      <c r="M1" s="1" t="s">
        <v>108</v>
      </c>
      <c r="N1" s="1" t="s">
        <v>112</v>
      </c>
    </row>
    <row r="2" spans="1:14">
      <c r="A2" s="4">
        <v>123456</v>
      </c>
      <c r="B2" s="4" t="s">
        <v>114</v>
      </c>
      <c r="C2" s="70">
        <v>46252.091099537036</v>
      </c>
      <c r="D2" s="4" t="s">
        <v>57</v>
      </c>
      <c r="E2" s="4" t="s">
        <v>59</v>
      </c>
      <c r="F2" s="4" t="s">
        <v>60</v>
      </c>
      <c r="G2" s="4" t="s">
        <v>61</v>
      </c>
      <c r="H2" s="4" t="s">
        <v>58</v>
      </c>
      <c r="I2" s="4" t="s">
        <v>115</v>
      </c>
      <c r="J2" s="87">
        <v>46252</v>
      </c>
      <c r="K2" s="4">
        <v>34</v>
      </c>
      <c r="L2" s="4" t="s">
        <v>118</v>
      </c>
      <c r="M2" s="4" t="s">
        <v>116</v>
      </c>
      <c r="N2" s="4" t="s">
        <v>119</v>
      </c>
    </row>
    <row r="3" spans="1:14">
      <c r="A3">
        <v>123456</v>
      </c>
      <c r="B3" t="s">
        <v>114</v>
      </c>
      <c r="C3" s="69">
        <v>46252.091400462959</v>
      </c>
      <c r="D3" t="s">
        <v>62</v>
      </c>
      <c r="E3" t="s">
        <v>78</v>
      </c>
      <c r="G3" t="s">
        <v>61</v>
      </c>
      <c r="I3" t="s">
        <v>115</v>
      </c>
      <c r="J3" s="86">
        <v>46252</v>
      </c>
      <c r="K3">
        <v>34</v>
      </c>
      <c r="L3" t="s">
        <v>118</v>
      </c>
      <c r="M3" t="s">
        <v>121</v>
      </c>
      <c r="N3" t="s">
        <v>119</v>
      </c>
    </row>
    <row r="4" spans="1:14">
      <c r="A4">
        <v>1234567</v>
      </c>
      <c r="B4" t="s">
        <v>114</v>
      </c>
      <c r="C4" s="69">
        <v>46252.091608796298</v>
      </c>
      <c r="D4" t="s">
        <v>62</v>
      </c>
      <c r="E4" t="s">
        <v>78</v>
      </c>
      <c r="G4" t="s">
        <v>61</v>
      </c>
      <c r="I4" t="s">
        <v>115</v>
      </c>
      <c r="J4" s="86">
        <v>46252</v>
      </c>
      <c r="K4">
        <v>34</v>
      </c>
      <c r="L4" t="s">
        <v>118</v>
      </c>
      <c r="M4" t="s">
        <v>122</v>
      </c>
      <c r="N4" t="s">
        <v>119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Accueil</vt:lpstr>
      <vt:lpstr>Parametres</vt:lpstr>
      <vt:lpstr>Dashboard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E16 GEN1</dc:creator>
  <cp:lastModifiedBy>Youssef</cp:lastModifiedBy>
  <dcterms:created xsi:type="dcterms:W3CDTF">2026-08-17T23:54:39Z</dcterms:created>
  <dcterms:modified xsi:type="dcterms:W3CDTF">2026-08-18T00:22:45Z</dcterms:modified>
</cp:coreProperties>
</file>